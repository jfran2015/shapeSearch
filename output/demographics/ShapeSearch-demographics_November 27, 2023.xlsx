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frandsen/Documents/MATLAB/repos/shapeSearch/output/demographics/"/>
    </mc:Choice>
  </mc:AlternateContent>
  <xr:revisionPtr revIDLastSave="0" documentId="13_ncr:1_{34DA97AD-881E-9D47-BC50-4FFE211106F3}" xr6:coauthVersionLast="47" xr6:coauthVersionMax="47" xr10:uidLastSave="{00000000-0000-0000-0000-000000000000}"/>
  <bookViews>
    <workbookView xWindow="0" yWindow="0" windowWidth="33600" windowHeight="21000" activeTab="1" xr2:uid="{00000000-000D-0000-FFFF-FFFF00000000}"/>
  </bookViews>
  <sheets>
    <sheet name="Raw" sheetId="1" r:id="rId1"/>
    <sheet name="Cleaned" sheetId="2" r:id="rId2"/>
    <sheet name="Sheet1" sheetId="4" r:id="rId3"/>
    <sheet name="Key" sheetId="3" r:id="rId4"/>
  </sheets>
  <definedNames>
    <definedName name="_xlnm._FilterDatabase" localSheetId="0" hidden="1">Raw!$A$2:$AB$29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2" l="1"/>
  <c r="I47" i="2"/>
  <c r="I46" i="2"/>
  <c r="I44" i="2"/>
  <c r="I43" i="2"/>
  <c r="I42" i="2"/>
  <c r="I41" i="2"/>
  <c r="H39" i="2"/>
  <c r="H38" i="2"/>
  <c r="G37" i="2"/>
  <c r="G36" i="2"/>
  <c r="G35" i="2"/>
  <c r="F34" i="2"/>
  <c r="F33" i="2"/>
  <c r="E32" i="2"/>
  <c r="E31" i="2"/>
  <c r="E30" i="2"/>
  <c r="D29" i="2"/>
  <c r="D28" i="2"/>
  <c r="D27" i="2"/>
  <c r="C26" i="2"/>
  <c r="C25" i="2"/>
  <c r="C24" i="2"/>
  <c r="B23" i="2"/>
  <c r="H40" i="2"/>
</calcChain>
</file>

<file path=xl/sharedStrings.xml><?xml version="1.0" encoding="utf-8"?>
<sst xmlns="http://schemas.openxmlformats.org/spreadsheetml/2006/main" count="727" uniqueCount="139">
  <si>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</si>
  <si>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</si>
  <si>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</si>
  <si>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</si>
  <si>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</si>
  <si>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</si>
  <si>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</si>
  <si>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</si>
  <si>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</si>
  <si>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</si>
  <si>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</si>
  <si>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</si>
  <si>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</si>
  <si>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</si>
  <si>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</si>
  <si>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</si>
  <si>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</si>
  <si>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</si>
  <si>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>Handedness</t>
  </si>
  <si>
    <t>Age</t>
  </si>
  <si>
    <t>Vision</t>
  </si>
  <si>
    <t>Contacts</t>
  </si>
  <si>
    <t>Colorblind</t>
  </si>
  <si>
    <t>Gender</t>
  </si>
  <si>
    <t>Gender_3_TEXT</t>
  </si>
  <si>
    <t>Ethnicity</t>
  </si>
  <si>
    <t>Race</t>
  </si>
  <si>
    <t>Race_6_TEXT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</si>
  <si>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</si>
  <si>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</si>
  <si>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</si>
  <si>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</si>
  <si>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</si>
  <si>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</si>
  <si>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</si>
  <si>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</si>
  <si>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</si>
  <si>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</si>
  <si>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</si>
  <si>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</si>
  <si>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</si>
  <si>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</si>
  <si>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Subject Number</t>
  </si>
  <si>
    <t>Do you have normal or corrected-to-normal vision</t>
  </si>
  <si>
    <t>If corrected-to-normal, do you have contacts you can wear comfortably?</t>
  </si>
  <si>
    <t>Are you partially or completely colorblind?</t>
  </si>
  <si>
    <t>Gender - Selected Choice</t>
  </si>
  <si>
    <t>Gender - No Response - Text</t>
  </si>
  <si>
    <t>Ethnic Category</t>
  </si>
  <si>
    <t>Racial Category - Selected Choice</t>
  </si>
  <si>
    <t>Racial Category - No Response - Text</t>
  </si>
  <si>
    <t>128.194.2.220</t>
  </si>
  <si>
    <t>True</t>
  </si>
  <si>
    <t>R_QbSlXfxsuGjMuWd</t>
  </si>
  <si>
    <t/>
  </si>
  <si>
    <t>anonymous</t>
  </si>
  <si>
    <t>EN</t>
  </si>
  <si>
    <t>3</t>
  </si>
  <si>
    <t>Right</t>
  </si>
  <si>
    <t>18</t>
  </si>
  <si>
    <t>Yes (Corrected)</t>
  </si>
  <si>
    <t>No</t>
  </si>
  <si>
    <t>Female</t>
  </si>
  <si>
    <t>Not Hispanic or Latino</t>
  </si>
  <si>
    <t>White</t>
  </si>
  <si>
    <t>128.194.2.140</t>
  </si>
  <si>
    <t>R_sAKbCABVx1xtgXL</t>
  </si>
  <si>
    <t>4</t>
  </si>
  <si>
    <t>Male</t>
  </si>
  <si>
    <t>R_1EXbJhw6aduvue7</t>
  </si>
  <si>
    <t>5</t>
  </si>
  <si>
    <t>Yes (Normal)</t>
  </si>
  <si>
    <t>Hispanic or Latino</t>
  </si>
  <si>
    <t>R_27QBlsn8SagVXAQ</t>
  </si>
  <si>
    <t>6</t>
  </si>
  <si>
    <t>19</t>
  </si>
  <si>
    <t>Yes</t>
  </si>
  <si>
    <t>128.194.2.150</t>
  </si>
  <si>
    <t>R_2V4FPlzCOxCp8l1</t>
  </si>
  <si>
    <t>7</t>
  </si>
  <si>
    <t>R_2DOKgko8uoXezlf</t>
  </si>
  <si>
    <t>8</t>
  </si>
  <si>
    <t>R_10oTnzvpcZhoo3L</t>
  </si>
  <si>
    <t>9</t>
  </si>
  <si>
    <t>Left</t>
  </si>
  <si>
    <t>No Response</t>
  </si>
  <si>
    <t>R_2BeMfGwGZtsLNli</t>
  </si>
  <si>
    <t>10</t>
  </si>
  <si>
    <t>Black or African American</t>
  </si>
  <si>
    <t>R_1LhPtk7fyQNMWZm</t>
  </si>
  <si>
    <t>11</t>
  </si>
  <si>
    <t>21</t>
  </si>
  <si>
    <t>R_2SjB34WNdTPyrCQ</t>
  </si>
  <si>
    <t>12</t>
  </si>
  <si>
    <t>R_1OZhqNs9qCPczB0</t>
  </si>
  <si>
    <t>13</t>
  </si>
  <si>
    <t>R_2tsYtiR9ia8ziUL</t>
  </si>
  <si>
    <t>R_2VrUl5SoM0gkF0a</t>
  </si>
  <si>
    <t>14</t>
  </si>
  <si>
    <t>R_2rioImhXX5CQzNz</t>
  </si>
  <si>
    <t>15</t>
  </si>
  <si>
    <t>R_qwPFS0u9HqEuH5f</t>
  </si>
  <si>
    <t>128.194.2.184</t>
  </si>
  <si>
    <t>R_3P6xYazgKQqTovH</t>
  </si>
  <si>
    <t>20</t>
  </si>
  <si>
    <t>R_2UVMaP4Yy3OcBMI</t>
  </si>
  <si>
    <t>16</t>
  </si>
  <si>
    <t>R_2rVhU4GwDQHyud4</t>
  </si>
  <si>
    <t>17</t>
  </si>
  <si>
    <t>R_22Ysytmd0GSEbiC</t>
  </si>
  <si>
    <t>R_2AYJ70M6KzearXZ</t>
  </si>
  <si>
    <t>R_DSmtWXvyRgR0wPn</t>
  </si>
  <si>
    <t>128.194.2.206</t>
  </si>
  <si>
    <t>R_1ifDmxE1hSCEFZW</t>
  </si>
  <si>
    <t>R_1jwbjD5YdRurAue</t>
  </si>
  <si>
    <t>Spam</t>
  </si>
  <si>
    <t>R_xgW7Pv7TOmaBU3L</t>
  </si>
  <si>
    <t>22</t>
  </si>
  <si>
    <t>R_BriLcXLgjvZUqSl</t>
  </si>
  <si>
    <t>R_3FIMKRYS2QjRfFi</t>
  </si>
  <si>
    <t>23</t>
  </si>
  <si>
    <t>Notes</t>
  </si>
  <si>
    <t>Question</t>
  </si>
  <si>
    <t>Text</t>
  </si>
  <si>
    <t>Code</t>
  </si>
  <si>
    <t>Both</t>
  </si>
  <si>
    <t>Yes (normal)</t>
  </si>
  <si>
    <t>Yes (corrected)</t>
  </si>
  <si>
    <t>NA/No response</t>
  </si>
  <si>
    <t>No response</t>
  </si>
  <si>
    <t>American Indian/Alaskan Native</t>
  </si>
  <si>
    <t>Asian</t>
  </si>
  <si>
    <t>Native Hawaiian or Other Pacific Islander</t>
  </si>
  <si>
    <t>More than 1 race</t>
  </si>
  <si>
    <t>Avg. age</t>
  </si>
  <si>
    <t>NA</t>
  </si>
  <si>
    <t>Ethinicity</t>
  </si>
  <si>
    <t>Avg. Age</t>
  </si>
  <si>
    <t>Table 1. 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</si>
</sst>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22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3" borderId="0" xfId="0" applyFill="1"/>
    <xf numFmtId="0" fontId="0" fillId="0" borderId="0" xfId="0" applyAlignment="1">
      <alignment wrapText="1"/>
    </xf>
    <xf numFmtId="0" fontId="2" fillId="0" borderId="0" xfId="0" applyFont="1"/>
    <xf numFmtId="0" fontId="3" fillId="2" borderId="0" xfId="1" applyFont="1" applyAlignment="1">
      <alignment horizontal="center" vertical="center"/>
    </xf>
    <xf numFmtId="1" fontId="1" fillId="2" borderId="0" xfId="1" applyNumberFormat="1"/>
    <xf numFmtId="0" fontId="1" fillId="2" borderId="0" xfId="1"/>
    <xf numFmtId="0" fontId="0" fillId="2" borderId="0" xfId="1" applyFont="1"/>
    <xf numFmtId="49" fontId="1" fillId="2" borderId="0" xfId="1" applyNumberFormat="1"/>
    <xf numFmtId="0" fontId="2" fillId="2" borderId="0" xfId="1" applyFont="1"/>
    <xf numFmtId="0" fontId="2" fillId="2" borderId="0" xfId="1" applyFont="1" applyAlignment="1">
      <alignment horizontal="center" vertical="center"/>
    </xf>
    <xf numFmtId="0" fontId="2" fillId="2" borderId="1" xfId="1" applyFont="1" applyBorder="1"/>
    <xf numFmtId="0" fontId="1" fillId="2" borderId="1" xfId="1" applyBorder="1"/>
    <xf numFmtId="0" fontId="2" fillId="0" borderId="1" xfId="0" applyFont="1" applyBorder="1"/>
    <xf numFmtId="0" fontId="0" fillId="2" borderId="1" xfId="1" applyFont="1" applyBorder="1"/>
    <xf numFmtId="0" fontId="0" fillId="0" borderId="1" xfId="0" applyBorder="1"/>
    <xf numFmtId="1" fontId="1" fillId="2" borderId="1" xfId="1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3" xfId="1" xr:uid="{1FF5117A-095C-48FC-9839-660A1563CC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opLeftCell="G1" workbookViewId="0">
      <selection activeCell="F8" sqref="F8"/>
    </sheetView>
  </sheetViews>
  <sheetFormatPr baseColWidth="10" defaultColWidth="8.83203125" defaultRowHeight="15" x14ac:dyDescent="0.2"/>
  <cols>
    <col min="1" max="2" width="15.83203125" bestFit="1" customWidth="1"/>
    <col min="8" max="8" width="15.83203125" bestFit="1" customWidth="1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2">
      <c r="A2" s="3" t="s">
        <v>28</v>
      </c>
      <c r="B2" s="3" t="s">
        <v>29</v>
      </c>
      <c r="C2" s="3" t="s">
        <v>30</v>
      </c>
      <c r="D2" s="3" t="s">
        <v>31</v>
      </c>
      <c r="E2" s="3" t="s">
        <v>4</v>
      </c>
      <c r="F2" s="3" t="s">
        <v>5</v>
      </c>
      <c r="G2" s="3" t="s">
        <v>6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18</v>
      </c>
      <c r="T2" s="3" t="s">
        <v>19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49</v>
      </c>
      <c r="AB2" s="3" t="s">
        <v>50</v>
      </c>
    </row>
    <row r="3" spans="1:28" ht="48" x14ac:dyDescent="0.2">
      <c r="A3" s="1">
        <v>45212.586793981478</v>
      </c>
      <c r="B3" s="1">
        <v>45212.587534722225</v>
      </c>
      <c r="C3" s="2" t="s">
        <v>31</v>
      </c>
      <c r="D3" s="2" t="s">
        <v>51</v>
      </c>
      <c r="E3">
        <v>100</v>
      </c>
      <c r="F3">
        <v>63</v>
      </c>
      <c r="G3" s="2" t="s">
        <v>52</v>
      </c>
      <c r="H3" s="1">
        <v>45212.587546296294</v>
      </c>
      <c r="I3" s="2" t="s">
        <v>53</v>
      </c>
      <c r="J3" s="2" t="s">
        <v>54</v>
      </c>
      <c r="K3" s="2" t="s">
        <v>54</v>
      </c>
      <c r="L3" s="2" t="s">
        <v>54</v>
      </c>
      <c r="M3" s="2" t="s">
        <v>54</v>
      </c>
      <c r="N3">
        <v>30.603200000000001</v>
      </c>
      <c r="O3">
        <v>-96.313599999999994</v>
      </c>
      <c r="P3" s="2" t="s">
        <v>55</v>
      </c>
      <c r="Q3" s="2" t="s">
        <v>56</v>
      </c>
      <c r="R3" s="2" t="s">
        <v>57</v>
      </c>
      <c r="S3" s="2" t="s">
        <v>58</v>
      </c>
      <c r="T3" s="2" t="s">
        <v>59</v>
      </c>
      <c r="U3" s="2" t="s">
        <v>60</v>
      </c>
      <c r="V3" s="2" t="s">
        <v>61</v>
      </c>
      <c r="W3" s="2" t="s">
        <v>61</v>
      </c>
      <c r="X3" s="2" t="s">
        <v>62</v>
      </c>
      <c r="Y3" s="2" t="s">
        <v>54</v>
      </c>
      <c r="Z3" s="2" t="s">
        <v>63</v>
      </c>
      <c r="AA3" s="2" t="s">
        <v>64</v>
      </c>
      <c r="AB3" s="2" t="s">
        <v>54</v>
      </c>
    </row>
    <row r="4" spans="1:28" ht="48" x14ac:dyDescent="0.2">
      <c r="A4" s="1">
        <v>45212.623101851852</v>
      </c>
      <c r="B4" s="1">
        <v>45212.625856481478</v>
      </c>
      <c r="C4" s="2" t="s">
        <v>31</v>
      </c>
      <c r="D4" s="2" t="s">
        <v>65</v>
      </c>
      <c r="E4">
        <v>100</v>
      </c>
      <c r="F4">
        <v>238</v>
      </c>
      <c r="G4" s="2" t="s">
        <v>52</v>
      </c>
      <c r="H4" s="1">
        <v>45212.625874027777</v>
      </c>
      <c r="I4" s="2" t="s">
        <v>66</v>
      </c>
      <c r="J4" s="2" t="s">
        <v>54</v>
      </c>
      <c r="K4" s="2" t="s">
        <v>54</v>
      </c>
      <c r="L4" s="2" t="s">
        <v>54</v>
      </c>
      <c r="M4" s="2" t="s">
        <v>54</v>
      </c>
      <c r="N4">
        <v>30.603200000000001</v>
      </c>
      <c r="O4">
        <v>-96.313599999999994</v>
      </c>
      <c r="P4" s="2" t="s">
        <v>55</v>
      </c>
      <c r="Q4" s="2" t="s">
        <v>56</v>
      </c>
      <c r="R4" s="2" t="s">
        <v>67</v>
      </c>
      <c r="S4" s="2" t="s">
        <v>58</v>
      </c>
      <c r="T4" s="2" t="s">
        <v>59</v>
      </c>
      <c r="U4" s="2" t="s">
        <v>60</v>
      </c>
      <c r="V4" s="2" t="s">
        <v>61</v>
      </c>
      <c r="W4" s="2" t="s">
        <v>61</v>
      </c>
      <c r="X4" s="2" t="s">
        <v>68</v>
      </c>
      <c r="Y4" s="2" t="s">
        <v>54</v>
      </c>
      <c r="Z4" s="2" t="s">
        <v>63</v>
      </c>
      <c r="AA4" s="2" t="s">
        <v>64</v>
      </c>
      <c r="AB4" s="2" t="s">
        <v>54</v>
      </c>
    </row>
    <row r="5" spans="1:28" ht="48" x14ac:dyDescent="0.2">
      <c r="A5" s="1">
        <v>45212.663981481484</v>
      </c>
      <c r="B5" s="1">
        <v>45212.666203703702</v>
      </c>
      <c r="C5" s="2" t="s">
        <v>31</v>
      </c>
      <c r="D5" s="2" t="s">
        <v>65</v>
      </c>
      <c r="E5">
        <v>100</v>
      </c>
      <c r="F5">
        <v>191</v>
      </c>
      <c r="G5" s="2" t="s">
        <v>52</v>
      </c>
      <c r="H5" s="1">
        <v>45212.666221261577</v>
      </c>
      <c r="I5" s="2" t="s">
        <v>69</v>
      </c>
      <c r="J5" s="2" t="s">
        <v>54</v>
      </c>
      <c r="K5" s="2" t="s">
        <v>54</v>
      </c>
      <c r="L5" s="2" t="s">
        <v>54</v>
      </c>
      <c r="M5" s="2" t="s">
        <v>54</v>
      </c>
      <c r="N5">
        <v>30.603200000000001</v>
      </c>
      <c r="O5">
        <v>-96.313599999999994</v>
      </c>
      <c r="P5" s="2" t="s">
        <v>55</v>
      </c>
      <c r="Q5" s="2" t="s">
        <v>56</v>
      </c>
      <c r="R5" s="2" t="s">
        <v>70</v>
      </c>
      <c r="S5" s="2" t="s">
        <v>58</v>
      </c>
      <c r="T5" s="2" t="s">
        <v>59</v>
      </c>
      <c r="U5" s="2" t="s">
        <v>71</v>
      </c>
      <c r="V5" s="2" t="s">
        <v>54</v>
      </c>
      <c r="W5" s="2" t="s">
        <v>61</v>
      </c>
      <c r="X5" s="2" t="s">
        <v>62</v>
      </c>
      <c r="Y5" s="2" t="s">
        <v>54</v>
      </c>
      <c r="Z5" s="2" t="s">
        <v>72</v>
      </c>
      <c r="AA5" s="2" t="s">
        <v>64</v>
      </c>
      <c r="AB5" s="2" t="s">
        <v>54</v>
      </c>
    </row>
    <row r="6" spans="1:28" ht="48" x14ac:dyDescent="0.2">
      <c r="A6" s="1">
        <v>45218.518055555556</v>
      </c>
      <c r="B6" s="1">
        <v>45218.520277777781</v>
      </c>
      <c r="C6" s="2" t="s">
        <v>31</v>
      </c>
      <c r="D6" s="2" t="s">
        <v>65</v>
      </c>
      <c r="E6">
        <v>100</v>
      </c>
      <c r="F6">
        <v>192</v>
      </c>
      <c r="G6" s="2" t="s">
        <v>52</v>
      </c>
      <c r="H6" s="1">
        <v>45218.52029778935</v>
      </c>
      <c r="I6" s="2" t="s">
        <v>73</v>
      </c>
      <c r="J6" s="2" t="s">
        <v>54</v>
      </c>
      <c r="K6" s="2" t="s">
        <v>54</v>
      </c>
      <c r="L6" s="2" t="s">
        <v>54</v>
      </c>
      <c r="M6" s="2" t="s">
        <v>54</v>
      </c>
      <c r="N6">
        <v>30.547799999999999</v>
      </c>
      <c r="O6">
        <v>-96.271500000000003</v>
      </c>
      <c r="P6" s="2" t="s">
        <v>55</v>
      </c>
      <c r="Q6" s="2" t="s">
        <v>56</v>
      </c>
      <c r="R6" s="2" t="s">
        <v>74</v>
      </c>
      <c r="S6" s="2" t="s">
        <v>58</v>
      </c>
      <c r="T6" s="2" t="s">
        <v>75</v>
      </c>
      <c r="U6" s="2" t="s">
        <v>60</v>
      </c>
      <c r="V6" s="2" t="s">
        <v>76</v>
      </c>
      <c r="W6" s="2" t="s">
        <v>61</v>
      </c>
      <c r="X6" s="2" t="s">
        <v>62</v>
      </c>
      <c r="Y6" s="2" t="s">
        <v>54</v>
      </c>
      <c r="Z6" s="2" t="s">
        <v>72</v>
      </c>
      <c r="AA6" s="2" t="s">
        <v>64</v>
      </c>
      <c r="AB6" s="2" t="s">
        <v>54</v>
      </c>
    </row>
    <row r="7" spans="1:28" ht="48" x14ac:dyDescent="0.2">
      <c r="A7" s="1">
        <v>45218.534849537034</v>
      </c>
      <c r="B7" s="1">
        <v>45218.536076388889</v>
      </c>
      <c r="C7" s="2" t="s">
        <v>31</v>
      </c>
      <c r="D7" s="2" t="s">
        <v>77</v>
      </c>
      <c r="E7">
        <v>100</v>
      </c>
      <c r="F7">
        <v>105</v>
      </c>
      <c r="G7" s="2" t="s">
        <v>52</v>
      </c>
      <c r="H7" s="1">
        <v>45218.536088483794</v>
      </c>
      <c r="I7" s="2" t="s">
        <v>78</v>
      </c>
      <c r="J7" s="2" t="s">
        <v>54</v>
      </c>
      <c r="K7" s="2" t="s">
        <v>54</v>
      </c>
      <c r="L7" s="2" t="s">
        <v>54</v>
      </c>
      <c r="M7" s="2" t="s">
        <v>54</v>
      </c>
      <c r="N7">
        <v>30.547799999999999</v>
      </c>
      <c r="O7">
        <v>-96.271500000000003</v>
      </c>
      <c r="P7" s="2" t="s">
        <v>55</v>
      </c>
      <c r="Q7" s="2" t="s">
        <v>56</v>
      </c>
      <c r="R7" s="2" t="s">
        <v>79</v>
      </c>
      <c r="S7" s="2" t="s">
        <v>58</v>
      </c>
      <c r="T7" s="2" t="s">
        <v>75</v>
      </c>
      <c r="U7" s="2" t="s">
        <v>71</v>
      </c>
      <c r="V7" s="2" t="s">
        <v>54</v>
      </c>
      <c r="W7" s="2" t="s">
        <v>61</v>
      </c>
      <c r="X7" s="2" t="s">
        <v>62</v>
      </c>
      <c r="Y7" s="2" t="s">
        <v>54</v>
      </c>
      <c r="Z7" s="2" t="s">
        <v>63</v>
      </c>
      <c r="AA7" s="2" t="s">
        <v>64</v>
      </c>
      <c r="AB7" s="2" t="s">
        <v>54</v>
      </c>
    </row>
    <row r="8" spans="1:28" ht="48" x14ac:dyDescent="0.2">
      <c r="A8" s="1">
        <v>45219.583356481482</v>
      </c>
      <c r="B8" s="1">
        <v>45219.58520833333</v>
      </c>
      <c r="C8" s="2" t="s">
        <v>31</v>
      </c>
      <c r="D8" s="2" t="s">
        <v>65</v>
      </c>
      <c r="E8">
        <v>100</v>
      </c>
      <c r="F8">
        <v>159</v>
      </c>
      <c r="G8" s="2" t="s">
        <v>52</v>
      </c>
      <c r="H8" s="1">
        <v>45219.585222881942</v>
      </c>
      <c r="I8" s="2" t="s">
        <v>80</v>
      </c>
      <c r="J8" s="2" t="s">
        <v>54</v>
      </c>
      <c r="K8" s="2" t="s">
        <v>54</v>
      </c>
      <c r="L8" s="2" t="s">
        <v>54</v>
      </c>
      <c r="M8" s="2" t="s">
        <v>54</v>
      </c>
      <c r="N8">
        <v>30.547799999999999</v>
      </c>
      <c r="O8">
        <v>-96.271500000000003</v>
      </c>
      <c r="P8" s="2" t="s">
        <v>55</v>
      </c>
      <c r="Q8" s="2" t="s">
        <v>56</v>
      </c>
      <c r="R8" s="2" t="s">
        <v>81</v>
      </c>
      <c r="S8" s="2" t="s">
        <v>58</v>
      </c>
      <c r="T8" s="2" t="s">
        <v>59</v>
      </c>
      <c r="U8" s="2" t="s">
        <v>60</v>
      </c>
      <c r="V8" s="2" t="s">
        <v>76</v>
      </c>
      <c r="W8" s="2" t="s">
        <v>61</v>
      </c>
      <c r="X8" s="2" t="s">
        <v>62</v>
      </c>
      <c r="Y8" s="2" t="s">
        <v>54</v>
      </c>
      <c r="Z8" s="2" t="s">
        <v>63</v>
      </c>
      <c r="AA8" s="2" t="s">
        <v>64</v>
      </c>
      <c r="AB8" s="2" t="s">
        <v>54</v>
      </c>
    </row>
    <row r="9" spans="1:28" ht="48" x14ac:dyDescent="0.2">
      <c r="A9" s="1">
        <v>45219.663124999999</v>
      </c>
      <c r="B9" s="1">
        <v>45219.665856481479</v>
      </c>
      <c r="C9" s="2" t="s">
        <v>31</v>
      </c>
      <c r="D9" s="2" t="s">
        <v>65</v>
      </c>
      <c r="E9">
        <v>100</v>
      </c>
      <c r="F9">
        <v>236</v>
      </c>
      <c r="G9" s="2" t="s">
        <v>52</v>
      </c>
      <c r="H9" s="1">
        <v>45219.665876840278</v>
      </c>
      <c r="I9" s="2" t="s">
        <v>82</v>
      </c>
      <c r="J9" s="2" t="s">
        <v>54</v>
      </c>
      <c r="K9" s="2" t="s">
        <v>54</v>
      </c>
      <c r="L9" s="2" t="s">
        <v>54</v>
      </c>
      <c r="M9" s="2" t="s">
        <v>54</v>
      </c>
      <c r="N9">
        <v>30.547799999999999</v>
      </c>
      <c r="O9">
        <v>-96.271500000000003</v>
      </c>
      <c r="P9" s="2" t="s">
        <v>55</v>
      </c>
      <c r="Q9" s="2" t="s">
        <v>56</v>
      </c>
      <c r="R9" s="2" t="s">
        <v>83</v>
      </c>
      <c r="S9" s="2" t="s">
        <v>84</v>
      </c>
      <c r="T9" s="2" t="s">
        <v>59</v>
      </c>
      <c r="U9" s="2" t="s">
        <v>60</v>
      </c>
      <c r="V9" s="2" t="s">
        <v>76</v>
      </c>
      <c r="W9" s="2" t="s">
        <v>61</v>
      </c>
      <c r="X9" s="2" t="s">
        <v>62</v>
      </c>
      <c r="Y9" s="2" t="s">
        <v>54</v>
      </c>
      <c r="Z9" s="2" t="s">
        <v>72</v>
      </c>
      <c r="AA9" s="2" t="s">
        <v>85</v>
      </c>
      <c r="AB9" s="2" t="s">
        <v>54</v>
      </c>
    </row>
    <row r="10" spans="1:28" ht="48" x14ac:dyDescent="0.2">
      <c r="A10" s="1">
        <v>45224.438715277778</v>
      </c>
      <c r="B10" s="1">
        <v>45224.442615740743</v>
      </c>
      <c r="C10" s="2" t="s">
        <v>31</v>
      </c>
      <c r="D10" s="2" t="s">
        <v>65</v>
      </c>
      <c r="E10">
        <v>100</v>
      </c>
      <c r="F10">
        <v>336</v>
      </c>
      <c r="G10" s="2" t="s">
        <v>52</v>
      </c>
      <c r="H10" s="1">
        <v>45224.442629814817</v>
      </c>
      <c r="I10" s="2" t="s">
        <v>86</v>
      </c>
      <c r="J10" s="2" t="s">
        <v>54</v>
      </c>
      <c r="K10" s="2" t="s">
        <v>54</v>
      </c>
      <c r="L10" s="2" t="s">
        <v>54</v>
      </c>
      <c r="M10" s="2" t="s">
        <v>54</v>
      </c>
      <c r="N10">
        <v>30.547799999999999</v>
      </c>
      <c r="O10">
        <v>-96.271500000000003</v>
      </c>
      <c r="P10" s="2" t="s">
        <v>55</v>
      </c>
      <c r="Q10" s="2" t="s">
        <v>56</v>
      </c>
      <c r="R10" s="2" t="s">
        <v>87</v>
      </c>
      <c r="S10" s="2" t="s">
        <v>58</v>
      </c>
      <c r="T10" s="2" t="s">
        <v>75</v>
      </c>
      <c r="U10" s="2" t="s">
        <v>71</v>
      </c>
      <c r="V10" s="2" t="s">
        <v>54</v>
      </c>
      <c r="W10" s="2" t="s">
        <v>61</v>
      </c>
      <c r="X10" s="2" t="s">
        <v>68</v>
      </c>
      <c r="Y10" s="2" t="s">
        <v>54</v>
      </c>
      <c r="Z10" s="2" t="s">
        <v>63</v>
      </c>
      <c r="AA10" s="2" t="s">
        <v>88</v>
      </c>
      <c r="AB10" s="2" t="s">
        <v>54</v>
      </c>
    </row>
    <row r="11" spans="1:28" ht="48" x14ac:dyDescent="0.2">
      <c r="A11" s="1">
        <v>45225.465937499997</v>
      </c>
      <c r="B11" s="1">
        <v>45225.46837962963</v>
      </c>
      <c r="C11" s="2" t="s">
        <v>31</v>
      </c>
      <c r="D11" s="2" t="s">
        <v>65</v>
      </c>
      <c r="E11">
        <v>100</v>
      </c>
      <c r="F11">
        <v>211</v>
      </c>
      <c r="G11" s="2" t="s">
        <v>52</v>
      </c>
      <c r="H11" s="1">
        <v>45225.468393981479</v>
      </c>
      <c r="I11" s="2" t="s">
        <v>89</v>
      </c>
      <c r="J11" s="2" t="s">
        <v>54</v>
      </c>
      <c r="K11" s="2" t="s">
        <v>54</v>
      </c>
      <c r="L11" s="2" t="s">
        <v>54</v>
      </c>
      <c r="M11" s="2" t="s">
        <v>54</v>
      </c>
      <c r="N11">
        <v>30.603200000000001</v>
      </c>
      <c r="O11">
        <v>-96.313599999999994</v>
      </c>
      <c r="P11" s="2" t="s">
        <v>55</v>
      </c>
      <c r="Q11" s="2" t="s">
        <v>56</v>
      </c>
      <c r="R11" s="2" t="s">
        <v>90</v>
      </c>
      <c r="S11" s="2" t="s">
        <v>58</v>
      </c>
      <c r="T11" s="2" t="s">
        <v>91</v>
      </c>
      <c r="U11" s="2" t="s">
        <v>71</v>
      </c>
      <c r="V11" s="2" t="s">
        <v>54</v>
      </c>
      <c r="W11" s="2" t="s">
        <v>61</v>
      </c>
      <c r="X11" s="2" t="s">
        <v>68</v>
      </c>
      <c r="Y11" s="2" t="s">
        <v>54</v>
      </c>
      <c r="Z11" s="2" t="s">
        <v>72</v>
      </c>
      <c r="AA11" s="2" t="s">
        <v>64</v>
      </c>
      <c r="AB11" s="2" t="s">
        <v>54</v>
      </c>
    </row>
    <row r="12" spans="1:28" ht="48" x14ac:dyDescent="0.2">
      <c r="A12" s="1">
        <v>45225.499907407408</v>
      </c>
      <c r="B12" s="1">
        <v>45225.502175925925</v>
      </c>
      <c r="C12" s="2" t="s">
        <v>31</v>
      </c>
      <c r="D12" s="2" t="s">
        <v>77</v>
      </c>
      <c r="E12">
        <v>100</v>
      </c>
      <c r="F12">
        <v>196</v>
      </c>
      <c r="G12" s="2" t="s">
        <v>52</v>
      </c>
      <c r="H12" s="1">
        <v>45225.502192662039</v>
      </c>
      <c r="I12" s="2" t="s">
        <v>92</v>
      </c>
      <c r="J12" s="2" t="s">
        <v>54</v>
      </c>
      <c r="K12" s="2" t="s">
        <v>54</v>
      </c>
      <c r="L12" s="2" t="s">
        <v>54</v>
      </c>
      <c r="M12" s="2" t="s">
        <v>54</v>
      </c>
      <c r="N12">
        <v>30.603200000000001</v>
      </c>
      <c r="O12">
        <v>-96.313599999999994</v>
      </c>
      <c r="P12" s="2" t="s">
        <v>55</v>
      </c>
      <c r="Q12" s="2" t="s">
        <v>56</v>
      </c>
      <c r="R12" s="2" t="s">
        <v>93</v>
      </c>
      <c r="S12" s="2" t="s">
        <v>58</v>
      </c>
      <c r="T12" s="2" t="s">
        <v>59</v>
      </c>
      <c r="U12" s="2" t="s">
        <v>71</v>
      </c>
      <c r="V12" s="2" t="s">
        <v>54</v>
      </c>
      <c r="W12" s="2" t="s">
        <v>61</v>
      </c>
      <c r="X12" s="2" t="s">
        <v>62</v>
      </c>
      <c r="Y12" s="2" t="s">
        <v>54</v>
      </c>
      <c r="Z12" s="2" t="s">
        <v>63</v>
      </c>
      <c r="AA12" s="2" t="s">
        <v>64</v>
      </c>
      <c r="AB12" s="2" t="s">
        <v>54</v>
      </c>
    </row>
    <row r="13" spans="1:28" ht="48" x14ac:dyDescent="0.2">
      <c r="A13" s="1">
        <v>45226.622662037036</v>
      </c>
      <c r="B13" s="1">
        <v>45226.625081018516</v>
      </c>
      <c r="C13" s="2" t="s">
        <v>31</v>
      </c>
      <c r="D13" s="2" t="s">
        <v>65</v>
      </c>
      <c r="E13">
        <v>100</v>
      </c>
      <c r="F13">
        <v>208</v>
      </c>
      <c r="G13" s="2" t="s">
        <v>52</v>
      </c>
      <c r="H13" s="1">
        <v>45226.625092071758</v>
      </c>
      <c r="I13" s="2" t="s">
        <v>94</v>
      </c>
      <c r="J13" s="2" t="s">
        <v>54</v>
      </c>
      <c r="K13" s="2" t="s">
        <v>54</v>
      </c>
      <c r="L13" s="2" t="s">
        <v>54</v>
      </c>
      <c r="M13" s="2" t="s">
        <v>54</v>
      </c>
      <c r="N13">
        <v>30.603200000000001</v>
      </c>
      <c r="O13">
        <v>-96.313599999999994</v>
      </c>
      <c r="P13" s="2" t="s">
        <v>55</v>
      </c>
      <c r="Q13" s="2" t="s">
        <v>56</v>
      </c>
      <c r="R13" s="2" t="s">
        <v>95</v>
      </c>
      <c r="S13" s="2" t="s">
        <v>58</v>
      </c>
      <c r="T13" s="2" t="s">
        <v>59</v>
      </c>
      <c r="U13" s="2" t="s">
        <v>60</v>
      </c>
      <c r="V13" s="2" t="s">
        <v>61</v>
      </c>
      <c r="W13" s="2" t="s">
        <v>61</v>
      </c>
      <c r="X13" s="2" t="s">
        <v>62</v>
      </c>
      <c r="Y13" s="2" t="s">
        <v>54</v>
      </c>
      <c r="Z13" s="2" t="s">
        <v>63</v>
      </c>
      <c r="AA13" s="2" t="s">
        <v>64</v>
      </c>
      <c r="AB13" s="2" t="s">
        <v>54</v>
      </c>
    </row>
    <row r="14" spans="1:28" ht="48" x14ac:dyDescent="0.2">
      <c r="A14" s="1">
        <v>45229.453090277777</v>
      </c>
      <c r="B14" s="1">
        <v>45229.462696759256</v>
      </c>
      <c r="C14" s="2" t="s">
        <v>31</v>
      </c>
      <c r="D14" s="2" t="s">
        <v>65</v>
      </c>
      <c r="E14">
        <v>100</v>
      </c>
      <c r="F14">
        <v>829</v>
      </c>
      <c r="G14" s="2" t="s">
        <v>52</v>
      </c>
      <c r="H14" s="1">
        <v>45229.462704490739</v>
      </c>
      <c r="I14" s="2" t="s">
        <v>96</v>
      </c>
      <c r="J14" s="2" t="s">
        <v>54</v>
      </c>
      <c r="K14" s="2" t="s">
        <v>54</v>
      </c>
      <c r="L14" s="2" t="s">
        <v>54</v>
      </c>
      <c r="M14" s="2" t="s">
        <v>54</v>
      </c>
      <c r="N14">
        <v>30.603200000000001</v>
      </c>
      <c r="O14">
        <v>-96.313599999999994</v>
      </c>
      <c r="P14" s="2" t="s">
        <v>55</v>
      </c>
      <c r="Q14" s="2" t="s">
        <v>56</v>
      </c>
      <c r="R14" s="2" t="s">
        <v>74</v>
      </c>
      <c r="S14" s="2" t="s">
        <v>54</v>
      </c>
      <c r="T14" s="2" t="s">
        <v>59</v>
      </c>
      <c r="U14" s="2" t="s">
        <v>60</v>
      </c>
      <c r="V14" s="2" t="s">
        <v>76</v>
      </c>
      <c r="W14" s="2" t="s">
        <v>61</v>
      </c>
      <c r="X14" s="2" t="s">
        <v>62</v>
      </c>
      <c r="Y14" s="2" t="s">
        <v>54</v>
      </c>
      <c r="Z14" s="2" t="s">
        <v>72</v>
      </c>
      <c r="AA14" s="2" t="s">
        <v>64</v>
      </c>
      <c r="AB14" s="2" t="s">
        <v>54</v>
      </c>
    </row>
    <row r="15" spans="1:28" ht="48" x14ac:dyDescent="0.2">
      <c r="A15" s="1">
        <v>45232.497627314813</v>
      </c>
      <c r="B15" s="1">
        <v>45232.500960648147</v>
      </c>
      <c r="C15" s="2" t="s">
        <v>31</v>
      </c>
      <c r="D15" s="2" t="s">
        <v>77</v>
      </c>
      <c r="E15">
        <v>100</v>
      </c>
      <c r="F15">
        <v>287</v>
      </c>
      <c r="G15" s="2" t="s">
        <v>52</v>
      </c>
      <c r="H15" s="1">
        <v>45232.500969490742</v>
      </c>
      <c r="I15" s="2" t="s">
        <v>97</v>
      </c>
      <c r="J15" s="2" t="s">
        <v>54</v>
      </c>
      <c r="K15" s="2" t="s">
        <v>54</v>
      </c>
      <c r="L15" s="2" t="s">
        <v>54</v>
      </c>
      <c r="M15" s="2" t="s">
        <v>54</v>
      </c>
      <c r="N15">
        <v>30.603200000000001</v>
      </c>
      <c r="O15">
        <v>-96.313599999999994</v>
      </c>
      <c r="P15" s="2" t="s">
        <v>55</v>
      </c>
      <c r="Q15" s="2" t="s">
        <v>56</v>
      </c>
      <c r="R15" s="2" t="s">
        <v>98</v>
      </c>
      <c r="S15" s="2" t="s">
        <v>58</v>
      </c>
      <c r="T15" s="2" t="s">
        <v>75</v>
      </c>
      <c r="U15" s="2" t="s">
        <v>60</v>
      </c>
      <c r="V15" s="2" t="s">
        <v>61</v>
      </c>
      <c r="W15" s="2" t="s">
        <v>61</v>
      </c>
      <c r="X15" s="2" t="s">
        <v>62</v>
      </c>
      <c r="Y15" s="2" t="s">
        <v>54</v>
      </c>
      <c r="Z15" s="2" t="s">
        <v>63</v>
      </c>
      <c r="AA15" s="2" t="s">
        <v>64</v>
      </c>
      <c r="AB15" s="2" t="s">
        <v>54</v>
      </c>
    </row>
    <row r="16" spans="1:28" ht="48" x14ac:dyDescent="0.2">
      <c r="A16" s="1">
        <v>45233.619201388887</v>
      </c>
      <c r="B16" s="1">
        <v>45233.622939814813</v>
      </c>
      <c r="C16" s="2" t="s">
        <v>31</v>
      </c>
      <c r="D16" s="2" t="s">
        <v>65</v>
      </c>
      <c r="E16">
        <v>100</v>
      </c>
      <c r="F16">
        <v>323</v>
      </c>
      <c r="G16" s="2" t="s">
        <v>52</v>
      </c>
      <c r="H16" s="1">
        <v>45233.62295232639</v>
      </c>
      <c r="I16" s="2" t="s">
        <v>99</v>
      </c>
      <c r="J16" s="2" t="s">
        <v>54</v>
      </c>
      <c r="K16" s="2" t="s">
        <v>54</v>
      </c>
      <c r="L16" s="2" t="s">
        <v>54</v>
      </c>
      <c r="M16" s="2" t="s">
        <v>54</v>
      </c>
      <c r="N16">
        <v>30.603200000000001</v>
      </c>
      <c r="O16">
        <v>-96.313599999999994</v>
      </c>
      <c r="P16" s="2" t="s">
        <v>55</v>
      </c>
      <c r="Q16" s="2" t="s">
        <v>56</v>
      </c>
      <c r="R16" s="2" t="s">
        <v>100</v>
      </c>
      <c r="S16" s="2" t="s">
        <v>58</v>
      </c>
      <c r="T16" s="2" t="s">
        <v>91</v>
      </c>
      <c r="U16" s="2" t="s">
        <v>71</v>
      </c>
      <c r="V16" s="2" t="s">
        <v>54</v>
      </c>
      <c r="W16" s="2" t="s">
        <v>61</v>
      </c>
      <c r="X16" s="2" t="s">
        <v>68</v>
      </c>
      <c r="Y16" s="2" t="s">
        <v>54</v>
      </c>
      <c r="Z16" s="2" t="s">
        <v>63</v>
      </c>
      <c r="AA16" s="2" t="s">
        <v>64</v>
      </c>
      <c r="AB16" s="2" t="s">
        <v>54</v>
      </c>
    </row>
    <row r="17" spans="1:28" ht="48" x14ac:dyDescent="0.2">
      <c r="A17" s="1">
        <v>45236.398981481485</v>
      </c>
      <c r="B17" s="1">
        <v>45236.402951388889</v>
      </c>
      <c r="C17" s="2" t="s">
        <v>31</v>
      </c>
      <c r="D17" s="2" t="s">
        <v>65</v>
      </c>
      <c r="E17">
        <v>100</v>
      </c>
      <c r="F17">
        <v>343</v>
      </c>
      <c r="G17" s="2" t="s">
        <v>52</v>
      </c>
      <c r="H17" s="1">
        <v>45236.402964456021</v>
      </c>
      <c r="I17" s="2" t="s">
        <v>101</v>
      </c>
      <c r="J17" s="2" t="s">
        <v>54</v>
      </c>
      <c r="K17" s="2" t="s">
        <v>54</v>
      </c>
      <c r="L17" s="2" t="s">
        <v>54</v>
      </c>
      <c r="M17" s="2" t="s">
        <v>54</v>
      </c>
      <c r="N17">
        <v>30.656700000000001</v>
      </c>
      <c r="O17">
        <v>-96.333500000000001</v>
      </c>
      <c r="P17" s="2" t="s">
        <v>55</v>
      </c>
      <c r="Q17" s="2" t="s">
        <v>56</v>
      </c>
      <c r="R17" s="2" t="s">
        <v>98</v>
      </c>
      <c r="S17" s="2" t="s">
        <v>58</v>
      </c>
      <c r="T17" s="2" t="s">
        <v>59</v>
      </c>
      <c r="U17" s="2" t="s">
        <v>71</v>
      </c>
      <c r="V17" s="2" t="s">
        <v>54</v>
      </c>
      <c r="W17" s="2" t="s">
        <v>61</v>
      </c>
      <c r="X17" s="2" t="s">
        <v>62</v>
      </c>
      <c r="Y17" s="2" t="s">
        <v>54</v>
      </c>
      <c r="Z17" s="2" t="s">
        <v>63</v>
      </c>
      <c r="AA17" s="2" t="s">
        <v>64</v>
      </c>
      <c r="AB17" s="2" t="s">
        <v>54</v>
      </c>
    </row>
    <row r="18" spans="1:28" ht="48" x14ac:dyDescent="0.2">
      <c r="A18" s="1">
        <v>45238.399444444447</v>
      </c>
      <c r="B18" s="1">
        <v>45238.402592592596</v>
      </c>
      <c r="C18" s="2" t="s">
        <v>31</v>
      </c>
      <c r="D18" s="2" t="s">
        <v>102</v>
      </c>
      <c r="E18">
        <v>100</v>
      </c>
      <c r="F18">
        <v>271</v>
      </c>
      <c r="G18" s="2" t="s">
        <v>52</v>
      </c>
      <c r="H18" s="1">
        <v>45238.402603136572</v>
      </c>
      <c r="I18" s="2" t="s">
        <v>103</v>
      </c>
      <c r="J18" s="2" t="s">
        <v>54</v>
      </c>
      <c r="K18" s="2" t="s">
        <v>54</v>
      </c>
      <c r="L18" s="2" t="s">
        <v>54</v>
      </c>
      <c r="M18" s="2" t="s">
        <v>54</v>
      </c>
      <c r="N18">
        <v>30.656700000000001</v>
      </c>
      <c r="O18">
        <v>-96.333500000000001</v>
      </c>
      <c r="P18" s="2" t="s">
        <v>55</v>
      </c>
      <c r="Q18" s="2" t="s">
        <v>56</v>
      </c>
      <c r="R18" s="2" t="s">
        <v>100</v>
      </c>
      <c r="S18" s="2" t="s">
        <v>58</v>
      </c>
      <c r="T18" s="2" t="s">
        <v>104</v>
      </c>
      <c r="U18" s="2" t="s">
        <v>60</v>
      </c>
      <c r="V18" s="2" t="s">
        <v>76</v>
      </c>
      <c r="W18" s="2" t="s">
        <v>61</v>
      </c>
      <c r="X18" s="2" t="s">
        <v>62</v>
      </c>
      <c r="Y18" s="2" t="s">
        <v>54</v>
      </c>
      <c r="Z18" s="2" t="s">
        <v>72</v>
      </c>
      <c r="AA18" s="2" t="s">
        <v>64</v>
      </c>
      <c r="AB18" s="2" t="s">
        <v>54</v>
      </c>
    </row>
    <row r="19" spans="1:28" ht="48" x14ac:dyDescent="0.2">
      <c r="A19" s="1">
        <v>45239.498287037037</v>
      </c>
      <c r="B19" s="1">
        <v>45239.501134259262</v>
      </c>
      <c r="C19" s="2" t="s">
        <v>31</v>
      </c>
      <c r="D19" s="2" t="s">
        <v>77</v>
      </c>
      <c r="E19">
        <v>100</v>
      </c>
      <c r="F19">
        <v>245</v>
      </c>
      <c r="G19" s="2" t="s">
        <v>52</v>
      </c>
      <c r="H19" s="1">
        <v>45239.501151608798</v>
      </c>
      <c r="I19" s="2" t="s">
        <v>105</v>
      </c>
      <c r="J19" s="2" t="s">
        <v>54</v>
      </c>
      <c r="K19" s="2" t="s">
        <v>54</v>
      </c>
      <c r="L19" s="2" t="s">
        <v>54</v>
      </c>
      <c r="M19" s="2" t="s">
        <v>54</v>
      </c>
      <c r="N19">
        <v>30.656700000000001</v>
      </c>
      <c r="O19">
        <v>-96.333500000000001</v>
      </c>
      <c r="P19" s="2" t="s">
        <v>55</v>
      </c>
      <c r="Q19" s="2" t="s">
        <v>56</v>
      </c>
      <c r="R19" s="2" t="s">
        <v>106</v>
      </c>
      <c r="S19" s="2" t="s">
        <v>58</v>
      </c>
      <c r="T19" s="2" t="s">
        <v>104</v>
      </c>
      <c r="U19" s="2" t="s">
        <v>71</v>
      </c>
      <c r="V19" s="2" t="s">
        <v>54</v>
      </c>
      <c r="W19" s="2" t="s">
        <v>61</v>
      </c>
      <c r="X19" s="2" t="s">
        <v>68</v>
      </c>
      <c r="Y19" s="2" t="s">
        <v>54</v>
      </c>
      <c r="Z19" s="2" t="s">
        <v>72</v>
      </c>
      <c r="AA19" s="2" t="s">
        <v>64</v>
      </c>
      <c r="AB19" s="2" t="s">
        <v>54</v>
      </c>
    </row>
    <row r="20" spans="1:28" ht="48" x14ac:dyDescent="0.2">
      <c r="A20" s="1">
        <v>45239.541851851849</v>
      </c>
      <c r="B20" s="1">
        <v>45239.543842592589</v>
      </c>
      <c r="C20" s="2" t="s">
        <v>31</v>
      </c>
      <c r="D20" s="2" t="s">
        <v>77</v>
      </c>
      <c r="E20">
        <v>100</v>
      </c>
      <c r="F20">
        <v>172</v>
      </c>
      <c r="G20" s="2" t="s">
        <v>52</v>
      </c>
      <c r="H20" s="1">
        <v>45239.54385908565</v>
      </c>
      <c r="I20" s="2" t="s">
        <v>107</v>
      </c>
      <c r="J20" s="2" t="s">
        <v>54</v>
      </c>
      <c r="K20" s="2" t="s">
        <v>54</v>
      </c>
      <c r="L20" s="2" t="s">
        <v>54</v>
      </c>
      <c r="M20" s="2" t="s">
        <v>54</v>
      </c>
      <c r="N20">
        <v>30.656700000000001</v>
      </c>
      <c r="O20">
        <v>-96.333500000000001</v>
      </c>
      <c r="P20" s="2" t="s">
        <v>55</v>
      </c>
      <c r="Q20" s="2" t="s">
        <v>56</v>
      </c>
      <c r="R20" s="2" t="s">
        <v>108</v>
      </c>
      <c r="S20" s="2" t="s">
        <v>58</v>
      </c>
      <c r="T20" s="2" t="s">
        <v>59</v>
      </c>
      <c r="U20" s="2" t="s">
        <v>60</v>
      </c>
      <c r="V20" s="2" t="s">
        <v>61</v>
      </c>
      <c r="W20" s="2" t="s">
        <v>61</v>
      </c>
      <c r="X20" s="2" t="s">
        <v>68</v>
      </c>
      <c r="Y20" s="2" t="s">
        <v>54</v>
      </c>
      <c r="Z20" s="2" t="s">
        <v>72</v>
      </c>
      <c r="AA20" s="2" t="s">
        <v>85</v>
      </c>
      <c r="AB20" s="2" t="s">
        <v>54</v>
      </c>
    </row>
    <row r="21" spans="1:28" ht="48" x14ac:dyDescent="0.2">
      <c r="A21" s="1">
        <v>45240.58934027778</v>
      </c>
      <c r="B21" s="1">
        <v>45240.591851851852</v>
      </c>
      <c r="C21" s="2" t="s">
        <v>31</v>
      </c>
      <c r="D21" s="2" t="s">
        <v>77</v>
      </c>
      <c r="E21">
        <v>100</v>
      </c>
      <c r="F21">
        <v>217</v>
      </c>
      <c r="G21" s="2" t="s">
        <v>52</v>
      </c>
      <c r="H21" s="1">
        <v>45240.591867708332</v>
      </c>
      <c r="I21" s="2" t="s">
        <v>109</v>
      </c>
      <c r="J21" s="2" t="s">
        <v>54</v>
      </c>
      <c r="K21" s="2" t="s">
        <v>54</v>
      </c>
      <c r="L21" s="2" t="s">
        <v>54</v>
      </c>
      <c r="M21" s="2" t="s">
        <v>54</v>
      </c>
      <c r="N21">
        <v>30.656700000000001</v>
      </c>
      <c r="O21">
        <v>-96.333500000000001</v>
      </c>
      <c r="P21" s="2" t="s">
        <v>55</v>
      </c>
      <c r="Q21" s="2" t="s">
        <v>56</v>
      </c>
      <c r="R21" s="2" t="s">
        <v>59</v>
      </c>
      <c r="S21" s="2" t="s">
        <v>58</v>
      </c>
      <c r="T21" s="2" t="s">
        <v>104</v>
      </c>
      <c r="U21" s="2" t="s">
        <v>71</v>
      </c>
      <c r="V21" s="2" t="s">
        <v>54</v>
      </c>
      <c r="W21" s="2" t="s">
        <v>61</v>
      </c>
      <c r="X21" s="2" t="s">
        <v>62</v>
      </c>
      <c r="Y21" s="2" t="s">
        <v>54</v>
      </c>
      <c r="Z21" s="2" t="s">
        <v>63</v>
      </c>
      <c r="AA21" s="2" t="s">
        <v>64</v>
      </c>
      <c r="AB21" s="2" t="s">
        <v>54</v>
      </c>
    </row>
    <row r="22" spans="1:28" ht="48" x14ac:dyDescent="0.2">
      <c r="A22" s="1">
        <v>45240.622604166667</v>
      </c>
      <c r="B22" s="1">
        <v>45240.625300925924</v>
      </c>
      <c r="C22" s="2" t="s">
        <v>31</v>
      </c>
      <c r="D22" s="2" t="s">
        <v>77</v>
      </c>
      <c r="E22">
        <v>100</v>
      </c>
      <c r="F22">
        <v>232</v>
      </c>
      <c r="G22" s="2" t="s">
        <v>52</v>
      </c>
      <c r="H22" s="1">
        <v>45240.625306273148</v>
      </c>
      <c r="I22" s="2" t="s">
        <v>110</v>
      </c>
      <c r="J22" s="2" t="s">
        <v>54</v>
      </c>
      <c r="K22" s="2" t="s">
        <v>54</v>
      </c>
      <c r="L22" s="2" t="s">
        <v>54</v>
      </c>
      <c r="M22" s="2" t="s">
        <v>54</v>
      </c>
      <c r="N22">
        <v>30.656700000000001</v>
      </c>
      <c r="O22">
        <v>-96.333500000000001</v>
      </c>
      <c r="P22" s="2" t="s">
        <v>55</v>
      </c>
      <c r="Q22" s="2" t="s">
        <v>56</v>
      </c>
      <c r="R22" s="2" t="s">
        <v>75</v>
      </c>
      <c r="S22" s="2" t="s">
        <v>58</v>
      </c>
      <c r="T22" s="2" t="s">
        <v>59</v>
      </c>
      <c r="U22" s="2" t="s">
        <v>60</v>
      </c>
      <c r="V22" s="2" t="s">
        <v>76</v>
      </c>
      <c r="W22" s="2" t="s">
        <v>61</v>
      </c>
      <c r="X22" s="2" t="s">
        <v>68</v>
      </c>
      <c r="Y22" s="2" t="s">
        <v>54</v>
      </c>
      <c r="Z22" s="2" t="s">
        <v>63</v>
      </c>
      <c r="AA22" s="2" t="s">
        <v>64</v>
      </c>
      <c r="AB22" s="2" t="s">
        <v>54</v>
      </c>
    </row>
    <row r="23" spans="1:28" ht="48" x14ac:dyDescent="0.2">
      <c r="A23" s="1">
        <v>45240.654999999999</v>
      </c>
      <c r="B23" s="1">
        <v>45240.657442129632</v>
      </c>
      <c r="C23" s="2" t="s">
        <v>31</v>
      </c>
      <c r="D23" s="2" t="s">
        <v>77</v>
      </c>
      <c r="E23">
        <v>100</v>
      </c>
      <c r="F23">
        <v>211</v>
      </c>
      <c r="G23" s="2" t="s">
        <v>52</v>
      </c>
      <c r="H23" s="1">
        <v>45240.657458611109</v>
      </c>
      <c r="I23" s="2" t="s">
        <v>111</v>
      </c>
      <c r="J23" s="2" t="s">
        <v>54</v>
      </c>
      <c r="K23" s="2" t="s">
        <v>54</v>
      </c>
      <c r="L23" s="2" t="s">
        <v>54</v>
      </c>
      <c r="M23" s="2" t="s">
        <v>54</v>
      </c>
      <c r="N23">
        <v>30.656700000000001</v>
      </c>
      <c r="O23">
        <v>-96.333500000000001</v>
      </c>
      <c r="P23" s="2" t="s">
        <v>55</v>
      </c>
      <c r="Q23" s="2" t="s">
        <v>56</v>
      </c>
      <c r="R23" s="2" t="s">
        <v>104</v>
      </c>
      <c r="S23" s="2" t="s">
        <v>58</v>
      </c>
      <c r="T23" s="2" t="s">
        <v>104</v>
      </c>
      <c r="U23" s="2" t="s">
        <v>60</v>
      </c>
      <c r="V23" s="2" t="s">
        <v>76</v>
      </c>
      <c r="W23" s="2" t="s">
        <v>61</v>
      </c>
      <c r="X23" s="2" t="s">
        <v>68</v>
      </c>
      <c r="Y23" s="2" t="s">
        <v>54</v>
      </c>
      <c r="Z23" s="2" t="s">
        <v>72</v>
      </c>
      <c r="AA23" s="2" t="s">
        <v>64</v>
      </c>
      <c r="AB23" s="2" t="s">
        <v>54</v>
      </c>
    </row>
    <row r="24" spans="1:28" ht="48" x14ac:dyDescent="0.2">
      <c r="A24" s="1">
        <v>45245.394826388889</v>
      </c>
      <c r="B24" s="1">
        <v>45245.396874999999</v>
      </c>
      <c r="C24" s="2" t="s">
        <v>31</v>
      </c>
      <c r="D24" s="2" t="s">
        <v>112</v>
      </c>
      <c r="E24">
        <v>100</v>
      </c>
      <c r="F24">
        <v>176</v>
      </c>
      <c r="G24" s="2" t="s">
        <v>52</v>
      </c>
      <c r="H24" s="1">
        <v>45245.396885208334</v>
      </c>
      <c r="I24" s="2" t="s">
        <v>113</v>
      </c>
      <c r="J24" s="2" t="s">
        <v>54</v>
      </c>
      <c r="K24" s="2" t="s">
        <v>54</v>
      </c>
      <c r="L24" s="2" t="s">
        <v>54</v>
      </c>
      <c r="M24" s="2" t="s">
        <v>54</v>
      </c>
      <c r="N24">
        <v>30.547799999999999</v>
      </c>
      <c r="O24">
        <v>-96.271500000000003</v>
      </c>
      <c r="P24" s="2" t="s">
        <v>55</v>
      </c>
      <c r="Q24" s="2" t="s">
        <v>56</v>
      </c>
      <c r="R24" s="2" t="s">
        <v>91</v>
      </c>
      <c r="S24" s="2" t="s">
        <v>58</v>
      </c>
      <c r="T24" s="2" t="s">
        <v>59</v>
      </c>
      <c r="U24" s="2" t="s">
        <v>71</v>
      </c>
      <c r="V24" s="2" t="s">
        <v>54</v>
      </c>
      <c r="W24" s="2" t="s">
        <v>61</v>
      </c>
      <c r="X24" s="2" t="s">
        <v>62</v>
      </c>
      <c r="Y24" s="2" t="s">
        <v>54</v>
      </c>
      <c r="Z24" s="2" t="s">
        <v>63</v>
      </c>
      <c r="AA24" s="2" t="s">
        <v>64</v>
      </c>
      <c r="AB24" s="2" t="s">
        <v>54</v>
      </c>
    </row>
    <row r="25" spans="1:28" ht="48" x14ac:dyDescent="0.2">
      <c r="A25" s="1">
        <v>45245.438518518517</v>
      </c>
      <c r="B25" s="1">
        <v>45245.440972222219</v>
      </c>
      <c r="C25" s="2" t="s">
        <v>31</v>
      </c>
      <c r="D25" s="2" t="s">
        <v>112</v>
      </c>
      <c r="E25">
        <v>100</v>
      </c>
      <c r="F25">
        <v>211</v>
      </c>
      <c r="G25" s="2" t="s">
        <v>52</v>
      </c>
      <c r="H25" s="1">
        <v>45245.440983217595</v>
      </c>
      <c r="I25" s="2" t="s">
        <v>114</v>
      </c>
      <c r="J25" s="2" t="s">
        <v>54</v>
      </c>
      <c r="K25" s="2" t="s">
        <v>54</v>
      </c>
      <c r="L25" s="2" t="s">
        <v>54</v>
      </c>
      <c r="M25" s="2" t="s">
        <v>54</v>
      </c>
      <c r="N25">
        <v>30.547799999999999</v>
      </c>
      <c r="O25">
        <v>-96.271500000000003</v>
      </c>
      <c r="P25" s="2" t="s">
        <v>55</v>
      </c>
      <c r="Q25" s="2" t="s">
        <v>56</v>
      </c>
      <c r="R25" s="2" t="s">
        <v>91</v>
      </c>
      <c r="S25" s="2" t="s">
        <v>58</v>
      </c>
      <c r="T25" s="2" t="s">
        <v>59</v>
      </c>
      <c r="U25" s="2" t="s">
        <v>71</v>
      </c>
      <c r="V25" s="2" t="s">
        <v>54</v>
      </c>
      <c r="W25" s="2" t="s">
        <v>61</v>
      </c>
      <c r="X25" s="2" t="s">
        <v>68</v>
      </c>
      <c r="Y25" s="2" t="s">
        <v>54</v>
      </c>
      <c r="Z25" s="2" t="s">
        <v>72</v>
      </c>
      <c r="AA25" s="2" t="s">
        <v>64</v>
      </c>
      <c r="AB25" s="2" t="s">
        <v>54</v>
      </c>
    </row>
    <row r="26" spans="1:28" ht="48" x14ac:dyDescent="0.2">
      <c r="A26" s="1">
        <v>45246.506782407407</v>
      </c>
      <c r="B26" s="1">
        <v>45246.508067129631</v>
      </c>
      <c r="C26" s="2" t="s">
        <v>115</v>
      </c>
      <c r="D26" s="2" t="s">
        <v>112</v>
      </c>
      <c r="E26">
        <v>100</v>
      </c>
      <c r="F26">
        <v>111</v>
      </c>
      <c r="G26" s="2" t="s">
        <v>52</v>
      </c>
      <c r="H26" s="1">
        <v>45246.5080796412</v>
      </c>
      <c r="I26" s="2" t="s">
        <v>116</v>
      </c>
      <c r="J26" s="2" t="s">
        <v>54</v>
      </c>
      <c r="K26" s="2" t="s">
        <v>54</v>
      </c>
      <c r="L26" s="2" t="s">
        <v>54</v>
      </c>
      <c r="M26" s="2" t="s">
        <v>54</v>
      </c>
      <c r="N26">
        <v>30.547799999999999</v>
      </c>
      <c r="O26">
        <v>-96.271500000000003</v>
      </c>
      <c r="P26" s="2" t="s">
        <v>55</v>
      </c>
      <c r="Q26" s="2" t="s">
        <v>56</v>
      </c>
      <c r="R26" s="2" t="s">
        <v>117</v>
      </c>
      <c r="S26" s="2" t="s">
        <v>58</v>
      </c>
      <c r="T26" s="2" t="s">
        <v>59</v>
      </c>
      <c r="U26" s="2" t="s">
        <v>60</v>
      </c>
      <c r="V26" s="2" t="s">
        <v>61</v>
      </c>
      <c r="W26" s="2" t="s">
        <v>61</v>
      </c>
      <c r="X26" s="2" t="s">
        <v>62</v>
      </c>
      <c r="Y26" s="2" t="s">
        <v>54</v>
      </c>
      <c r="Z26" s="2" t="s">
        <v>72</v>
      </c>
      <c r="AA26" s="2" t="s">
        <v>64</v>
      </c>
      <c r="AB26" s="2" t="s">
        <v>54</v>
      </c>
    </row>
    <row r="27" spans="1:28" ht="48" x14ac:dyDescent="0.2">
      <c r="A27" s="1">
        <v>45247.584432870368</v>
      </c>
      <c r="B27" s="1">
        <v>45247.586921296293</v>
      </c>
      <c r="C27" s="2" t="s">
        <v>31</v>
      </c>
      <c r="D27" s="2" t="s">
        <v>65</v>
      </c>
      <c r="E27">
        <v>100</v>
      </c>
      <c r="F27">
        <v>215</v>
      </c>
      <c r="G27" s="2" t="s">
        <v>52</v>
      </c>
      <c r="H27" s="1">
        <v>45247.586940393521</v>
      </c>
      <c r="I27" s="2" t="s">
        <v>118</v>
      </c>
      <c r="J27" s="2" t="s">
        <v>54</v>
      </c>
      <c r="K27" s="2" t="s">
        <v>54</v>
      </c>
      <c r="L27" s="2" t="s">
        <v>54</v>
      </c>
      <c r="M27" s="2" t="s">
        <v>54</v>
      </c>
      <c r="N27">
        <v>30.547799999999999</v>
      </c>
      <c r="O27">
        <v>-96.271500000000003</v>
      </c>
      <c r="P27" s="2" t="s">
        <v>55</v>
      </c>
      <c r="Q27" s="2" t="s">
        <v>56</v>
      </c>
      <c r="R27" s="2" t="s">
        <v>117</v>
      </c>
      <c r="S27" s="2" t="s">
        <v>58</v>
      </c>
      <c r="T27" s="2" t="s">
        <v>75</v>
      </c>
      <c r="U27" s="2" t="s">
        <v>60</v>
      </c>
      <c r="V27" s="2" t="s">
        <v>76</v>
      </c>
      <c r="W27" s="2" t="s">
        <v>61</v>
      </c>
      <c r="X27" s="2" t="s">
        <v>62</v>
      </c>
      <c r="Y27" s="2" t="s">
        <v>54</v>
      </c>
      <c r="Z27" s="2" t="s">
        <v>63</v>
      </c>
      <c r="AA27" s="2" t="s">
        <v>64</v>
      </c>
      <c r="AB27" s="2" t="s">
        <v>54</v>
      </c>
    </row>
    <row r="28" spans="1:28" ht="48" x14ac:dyDescent="0.2">
      <c r="A28" s="1">
        <v>45247.623356481483</v>
      </c>
      <c r="B28" s="1">
        <v>45247.625520833331</v>
      </c>
      <c r="C28" s="2" t="s">
        <v>31</v>
      </c>
      <c r="D28" s="2" t="s">
        <v>65</v>
      </c>
      <c r="E28">
        <v>100</v>
      </c>
      <c r="F28">
        <v>187</v>
      </c>
      <c r="G28" s="2" t="s">
        <v>52</v>
      </c>
      <c r="H28" s="1">
        <v>45247.625535763887</v>
      </c>
      <c r="I28" s="2" t="s">
        <v>119</v>
      </c>
      <c r="J28" s="2" t="s">
        <v>54</v>
      </c>
      <c r="K28" s="2" t="s">
        <v>54</v>
      </c>
      <c r="L28" s="2" t="s">
        <v>54</v>
      </c>
      <c r="M28" s="2" t="s">
        <v>54</v>
      </c>
      <c r="N28">
        <v>30.547799999999999</v>
      </c>
      <c r="O28">
        <v>-96.271500000000003</v>
      </c>
      <c r="P28" s="2" t="s">
        <v>55</v>
      </c>
      <c r="Q28" s="2" t="s">
        <v>56</v>
      </c>
      <c r="R28" s="2" t="s">
        <v>120</v>
      </c>
      <c r="S28" s="2" t="s">
        <v>58</v>
      </c>
      <c r="T28" s="2" t="s">
        <v>104</v>
      </c>
      <c r="U28" s="2" t="s">
        <v>60</v>
      </c>
      <c r="V28" s="2" t="s">
        <v>61</v>
      </c>
      <c r="W28" s="2" t="s">
        <v>61</v>
      </c>
      <c r="X28" s="2" t="s">
        <v>68</v>
      </c>
      <c r="Y28" s="2" t="s">
        <v>54</v>
      </c>
      <c r="Z28" s="2" t="s">
        <v>63</v>
      </c>
      <c r="AA28" s="2" t="s">
        <v>64</v>
      </c>
      <c r="AB28" s="2" t="s">
        <v>54</v>
      </c>
    </row>
  </sheetData>
  <autoFilter ref="A2:AB29" xr:uid="{00000000-0009-0000-0000-000000000000}"/>
  <pageMargins left="0.7" right="0.7" top="0.75" bottom="0.75" header="0.3" footer="0.3"/>
  <ignoredErrors>
    <ignoredError sqref="C1:C28 D1:D28 G1:G28 I1:I28 J1:J28 K1:K28 L1:L28 M1:M28 P1:P28 Q1:Q28 R1:R28 S1:S28 T1:T28 U1:U28 V1:V28 W1:W28 X1:X28 Y1:Y28 Z1:Z28 AA1:AA28 AB1:AB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F886-F7C7-4C60-8B62-ABF6A41E69B8}">
  <dimension ref="A1:J73"/>
  <sheetViews>
    <sheetView tabSelected="1" topLeftCell="A48" workbookViewId="0">
      <selection activeCell="C51" sqref="C51"/>
    </sheetView>
  </sheetViews>
  <sheetFormatPr baseColWidth="10" defaultColWidth="8.83203125" defaultRowHeight="15" x14ac:dyDescent="0.2"/>
  <cols>
    <col min="3" max="3" width="14.5" bestFit="1" customWidth="1"/>
    <col min="6" max="6" width="12.5" bestFit="1" customWidth="1"/>
    <col min="7" max="7" width="20.5" bestFit="1" customWidth="1"/>
    <col min="8" max="8" width="38" bestFit="1" customWidth="1"/>
  </cols>
  <sheetData>
    <row r="1" spans="1:10" x14ac:dyDescent="0.2">
      <c r="A1" s="3" t="s">
        <v>17</v>
      </c>
      <c r="B1" s="3" t="s">
        <v>19</v>
      </c>
      <c r="C1" s="3" t="s">
        <v>18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121</v>
      </c>
    </row>
    <row r="2" spans="1:10" ht="16" x14ac:dyDescent="0.2">
      <c r="A2" s="4">
        <v>3</v>
      </c>
      <c r="B2" s="4">
        <v>18</v>
      </c>
      <c r="C2" s="2">
        <v>2</v>
      </c>
      <c r="D2" s="2">
        <v>2</v>
      </c>
      <c r="E2" s="2">
        <v>2</v>
      </c>
      <c r="F2" s="2">
        <v>2</v>
      </c>
      <c r="G2" s="2">
        <v>1</v>
      </c>
      <c r="H2" s="2">
        <v>2</v>
      </c>
      <c r="I2" s="2">
        <v>5</v>
      </c>
      <c r="J2" s="2" t="s">
        <v>54</v>
      </c>
    </row>
    <row r="3" spans="1:10" ht="16" x14ac:dyDescent="0.2">
      <c r="A3" s="4">
        <v>4</v>
      </c>
      <c r="B3" s="4">
        <v>18</v>
      </c>
      <c r="C3" s="2">
        <v>2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5</v>
      </c>
      <c r="J3" s="2" t="s">
        <v>54</v>
      </c>
    </row>
    <row r="4" spans="1:10" ht="16" x14ac:dyDescent="0.2">
      <c r="A4" s="4">
        <v>5</v>
      </c>
      <c r="B4" s="4">
        <v>18</v>
      </c>
      <c r="C4" s="2">
        <v>2</v>
      </c>
      <c r="D4" s="2">
        <v>1</v>
      </c>
      <c r="E4" s="2">
        <v>3</v>
      </c>
      <c r="F4" s="2">
        <v>2</v>
      </c>
      <c r="G4" s="2">
        <v>1</v>
      </c>
      <c r="H4" s="2">
        <v>1</v>
      </c>
      <c r="I4" s="2">
        <v>5</v>
      </c>
      <c r="J4" s="2" t="s">
        <v>54</v>
      </c>
    </row>
    <row r="5" spans="1:10" ht="16" x14ac:dyDescent="0.2">
      <c r="A5" s="4">
        <v>6</v>
      </c>
      <c r="B5" s="4">
        <v>19</v>
      </c>
      <c r="C5" s="2">
        <v>2</v>
      </c>
      <c r="D5" s="2">
        <v>2</v>
      </c>
      <c r="E5" s="2">
        <v>1</v>
      </c>
      <c r="F5" s="2">
        <v>2</v>
      </c>
      <c r="G5" s="2">
        <v>1</v>
      </c>
      <c r="H5" s="2">
        <v>1</v>
      </c>
      <c r="I5" s="2">
        <v>5</v>
      </c>
      <c r="J5" s="2" t="s">
        <v>54</v>
      </c>
    </row>
    <row r="6" spans="1:10" ht="16" x14ac:dyDescent="0.2">
      <c r="A6" s="4">
        <v>7</v>
      </c>
      <c r="B6" s="4">
        <v>19</v>
      </c>
      <c r="C6" s="2">
        <v>2</v>
      </c>
      <c r="D6" s="2">
        <v>1</v>
      </c>
      <c r="E6" s="2">
        <v>3</v>
      </c>
      <c r="F6" s="2">
        <v>2</v>
      </c>
      <c r="G6" s="2">
        <v>1</v>
      </c>
      <c r="H6" s="2">
        <v>2</v>
      </c>
      <c r="I6" s="2">
        <v>5</v>
      </c>
      <c r="J6" s="2" t="s">
        <v>54</v>
      </c>
    </row>
    <row r="7" spans="1:10" ht="16" x14ac:dyDescent="0.2">
      <c r="A7" s="4">
        <v>8</v>
      </c>
      <c r="B7" s="4">
        <v>18</v>
      </c>
      <c r="C7" s="2">
        <v>2</v>
      </c>
      <c r="D7" s="2">
        <v>2</v>
      </c>
      <c r="E7" s="2">
        <v>1</v>
      </c>
      <c r="F7" s="2">
        <v>2</v>
      </c>
      <c r="G7" s="2">
        <v>1</v>
      </c>
      <c r="H7" s="2">
        <v>2</v>
      </c>
      <c r="I7" s="2">
        <v>5</v>
      </c>
      <c r="J7" s="2" t="s">
        <v>54</v>
      </c>
    </row>
    <row r="8" spans="1:10" ht="16" x14ac:dyDescent="0.2">
      <c r="A8" s="4">
        <v>9</v>
      </c>
      <c r="B8" s="4">
        <v>18</v>
      </c>
      <c r="C8" s="2">
        <v>1</v>
      </c>
      <c r="D8" s="2">
        <v>2</v>
      </c>
      <c r="E8" s="2">
        <v>1</v>
      </c>
      <c r="F8" s="2">
        <v>2</v>
      </c>
      <c r="G8" s="2">
        <v>1</v>
      </c>
      <c r="H8" s="2">
        <v>1</v>
      </c>
      <c r="I8" s="2">
        <v>6</v>
      </c>
      <c r="J8" s="2" t="s">
        <v>54</v>
      </c>
    </row>
    <row r="9" spans="1:10" ht="16" x14ac:dyDescent="0.2">
      <c r="A9" s="4">
        <v>10</v>
      </c>
      <c r="B9" s="4">
        <v>19</v>
      </c>
      <c r="C9" s="2">
        <v>2</v>
      </c>
      <c r="D9" s="2">
        <v>1</v>
      </c>
      <c r="E9" s="2">
        <v>3</v>
      </c>
      <c r="F9" s="2">
        <v>2</v>
      </c>
      <c r="G9" s="2">
        <v>2</v>
      </c>
      <c r="H9" s="2">
        <v>2</v>
      </c>
      <c r="I9" s="2">
        <v>4</v>
      </c>
      <c r="J9" s="2" t="s">
        <v>54</v>
      </c>
    </row>
    <row r="10" spans="1:10" ht="16" x14ac:dyDescent="0.2">
      <c r="A10" s="4">
        <v>11</v>
      </c>
      <c r="B10" s="4">
        <v>21</v>
      </c>
      <c r="C10" s="2">
        <v>2</v>
      </c>
      <c r="D10" s="2">
        <v>1</v>
      </c>
      <c r="E10" s="2">
        <v>3</v>
      </c>
      <c r="F10" s="2">
        <v>2</v>
      </c>
      <c r="G10" s="2">
        <v>2</v>
      </c>
      <c r="H10" s="2">
        <v>1</v>
      </c>
      <c r="I10" s="2">
        <v>5</v>
      </c>
      <c r="J10" s="2" t="s">
        <v>54</v>
      </c>
    </row>
    <row r="11" spans="1:10" ht="16" x14ac:dyDescent="0.2">
      <c r="A11" s="4">
        <v>12</v>
      </c>
      <c r="B11" s="4">
        <v>18</v>
      </c>
      <c r="C11" s="2">
        <v>2</v>
      </c>
      <c r="D11" s="2">
        <v>1</v>
      </c>
      <c r="E11" s="2">
        <v>3</v>
      </c>
      <c r="F11" s="2">
        <v>2</v>
      </c>
      <c r="G11" s="2">
        <v>1</v>
      </c>
      <c r="H11" s="2">
        <v>2</v>
      </c>
      <c r="I11" s="2">
        <v>5</v>
      </c>
      <c r="J11" s="2" t="s">
        <v>54</v>
      </c>
    </row>
    <row r="12" spans="1:10" ht="16" x14ac:dyDescent="0.2">
      <c r="A12" s="4">
        <v>13</v>
      </c>
      <c r="B12" s="4">
        <v>18</v>
      </c>
      <c r="C12" s="2">
        <v>2</v>
      </c>
      <c r="D12" s="2">
        <v>2</v>
      </c>
      <c r="E12" s="2">
        <v>2</v>
      </c>
      <c r="F12" s="2">
        <v>2</v>
      </c>
      <c r="G12" s="2">
        <v>1</v>
      </c>
      <c r="H12" s="2">
        <v>2</v>
      </c>
      <c r="I12" s="2">
        <v>5</v>
      </c>
      <c r="J12" s="2" t="s">
        <v>54</v>
      </c>
    </row>
    <row r="13" spans="1:10" ht="16" x14ac:dyDescent="0.2">
      <c r="A13" s="4">
        <v>14</v>
      </c>
      <c r="B13" s="4">
        <v>19</v>
      </c>
      <c r="C13" s="2">
        <v>2</v>
      </c>
      <c r="D13" s="2">
        <v>2</v>
      </c>
      <c r="E13" s="2">
        <v>2</v>
      </c>
      <c r="F13" s="2">
        <v>2</v>
      </c>
      <c r="G13" s="2">
        <v>1</v>
      </c>
      <c r="H13" s="2">
        <v>2</v>
      </c>
      <c r="I13" s="2">
        <v>5</v>
      </c>
      <c r="J13" s="2" t="s">
        <v>54</v>
      </c>
    </row>
    <row r="14" spans="1:10" ht="16" x14ac:dyDescent="0.2">
      <c r="A14" s="4">
        <v>15</v>
      </c>
      <c r="B14" s="4">
        <v>20</v>
      </c>
      <c r="C14" s="2">
        <v>2</v>
      </c>
      <c r="D14" s="2">
        <v>2</v>
      </c>
      <c r="E14" s="2">
        <v>1</v>
      </c>
      <c r="F14" s="2">
        <v>2</v>
      </c>
      <c r="G14" s="2">
        <v>1</v>
      </c>
      <c r="H14" s="2">
        <v>1</v>
      </c>
      <c r="I14" s="2">
        <v>5</v>
      </c>
      <c r="J14" s="2" t="s">
        <v>54</v>
      </c>
    </row>
    <row r="15" spans="1:10" ht="16" x14ac:dyDescent="0.2">
      <c r="A15" s="4">
        <v>16</v>
      </c>
      <c r="B15" s="4">
        <v>20</v>
      </c>
      <c r="C15" s="2">
        <v>2</v>
      </c>
      <c r="D15" s="2">
        <v>1</v>
      </c>
      <c r="E15" s="2">
        <v>3</v>
      </c>
      <c r="F15" s="2">
        <v>2</v>
      </c>
      <c r="G15" s="2">
        <v>2</v>
      </c>
      <c r="H15" s="2">
        <v>1</v>
      </c>
      <c r="I15" s="2">
        <v>5</v>
      </c>
      <c r="J15" s="2" t="s">
        <v>54</v>
      </c>
    </row>
    <row r="16" spans="1:10" ht="16" x14ac:dyDescent="0.2">
      <c r="A16" s="4">
        <v>17</v>
      </c>
      <c r="B16" s="4">
        <v>18</v>
      </c>
      <c r="C16" s="2">
        <v>2</v>
      </c>
      <c r="D16" s="2">
        <v>2</v>
      </c>
      <c r="E16" s="2">
        <v>2</v>
      </c>
      <c r="F16" s="2">
        <v>2</v>
      </c>
      <c r="G16" s="2">
        <v>2</v>
      </c>
      <c r="H16" s="2">
        <v>1</v>
      </c>
      <c r="I16" s="2">
        <v>6</v>
      </c>
      <c r="J16" s="2" t="s">
        <v>54</v>
      </c>
    </row>
    <row r="17" spans="1:10" ht="16" x14ac:dyDescent="0.2">
      <c r="A17" s="4">
        <v>18</v>
      </c>
      <c r="B17" s="4">
        <v>20</v>
      </c>
      <c r="C17" s="2">
        <v>2</v>
      </c>
      <c r="D17" s="2">
        <v>1</v>
      </c>
      <c r="E17" s="2">
        <v>3</v>
      </c>
      <c r="F17" s="2">
        <v>2</v>
      </c>
      <c r="G17" s="2">
        <v>1</v>
      </c>
      <c r="H17" s="2">
        <v>2</v>
      </c>
      <c r="I17" s="2">
        <v>5</v>
      </c>
      <c r="J17" s="2" t="s">
        <v>54</v>
      </c>
    </row>
    <row r="18" spans="1:10" ht="16" x14ac:dyDescent="0.2">
      <c r="A18" s="4">
        <v>19</v>
      </c>
      <c r="B18" s="4">
        <v>18</v>
      </c>
      <c r="C18" s="2">
        <v>2</v>
      </c>
      <c r="D18" s="2">
        <v>2</v>
      </c>
      <c r="E18" s="2">
        <v>1</v>
      </c>
      <c r="F18" s="2">
        <v>2</v>
      </c>
      <c r="G18" s="2">
        <v>2</v>
      </c>
      <c r="H18" s="2">
        <v>2</v>
      </c>
      <c r="I18" s="2">
        <v>5</v>
      </c>
      <c r="J18" s="2" t="s">
        <v>54</v>
      </c>
    </row>
    <row r="19" spans="1:10" ht="16" x14ac:dyDescent="0.2">
      <c r="A19" s="4">
        <v>20</v>
      </c>
      <c r="B19" s="4">
        <v>20</v>
      </c>
      <c r="C19" s="2">
        <v>2</v>
      </c>
      <c r="D19" s="2">
        <v>2</v>
      </c>
      <c r="E19" s="2">
        <v>1</v>
      </c>
      <c r="F19" s="2">
        <v>2</v>
      </c>
      <c r="G19" s="2">
        <v>2</v>
      </c>
      <c r="H19" s="2">
        <v>1</v>
      </c>
      <c r="I19" s="2">
        <v>5</v>
      </c>
      <c r="J19" s="2" t="s">
        <v>54</v>
      </c>
    </row>
    <row r="20" spans="1:10" ht="16" x14ac:dyDescent="0.2">
      <c r="A20" s="4">
        <v>21</v>
      </c>
      <c r="B20" s="4">
        <v>18</v>
      </c>
      <c r="C20" s="2">
        <v>2</v>
      </c>
      <c r="D20" s="2">
        <v>1</v>
      </c>
      <c r="E20" s="2">
        <v>3</v>
      </c>
      <c r="F20" s="2">
        <v>2</v>
      </c>
      <c r="G20" s="2">
        <v>2</v>
      </c>
      <c r="H20" s="2">
        <v>1</v>
      </c>
      <c r="I20" s="2">
        <v>5</v>
      </c>
      <c r="J20" s="2" t="s">
        <v>54</v>
      </c>
    </row>
    <row r="21" spans="1:10" ht="16" x14ac:dyDescent="0.2">
      <c r="A21" s="4">
        <v>22</v>
      </c>
      <c r="B21" s="4">
        <v>19</v>
      </c>
      <c r="C21" s="2">
        <v>2</v>
      </c>
      <c r="D21" s="2">
        <v>2</v>
      </c>
      <c r="E21" s="2">
        <v>1</v>
      </c>
      <c r="F21" s="2">
        <v>2</v>
      </c>
      <c r="G21" s="2">
        <v>1</v>
      </c>
      <c r="H21" s="2">
        <v>2</v>
      </c>
      <c r="I21" s="2">
        <v>5</v>
      </c>
      <c r="J21" s="2" t="s">
        <v>54</v>
      </c>
    </row>
    <row r="22" spans="1:10" ht="16" x14ac:dyDescent="0.2">
      <c r="A22" s="4">
        <v>23</v>
      </c>
      <c r="B22" s="4">
        <v>20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  <c r="H22" s="2">
        <v>2</v>
      </c>
      <c r="I22" s="2">
        <v>5</v>
      </c>
      <c r="J22" s="2" t="s">
        <v>54</v>
      </c>
    </row>
    <row r="23" spans="1:10" x14ac:dyDescent="0.2">
      <c r="A23" s="6" t="s">
        <v>134</v>
      </c>
      <c r="B23" s="7">
        <f>AVERAGE(B2:B22)</f>
        <v>18.857142857142858</v>
      </c>
      <c r="C23" s="8"/>
      <c r="D23" s="8"/>
      <c r="E23" s="8"/>
      <c r="F23" s="8"/>
      <c r="G23" s="8"/>
      <c r="H23" s="8"/>
      <c r="I23" s="8"/>
    </row>
    <row r="24" spans="1:10" x14ac:dyDescent="0.2">
      <c r="A24" s="12" t="s">
        <v>18</v>
      </c>
      <c r="B24" s="9" t="s">
        <v>84</v>
      </c>
      <c r="C24" s="8">
        <f>COUNTIF(C2:C22,1)</f>
        <v>1</v>
      </c>
      <c r="D24" s="8"/>
      <c r="E24" s="8"/>
      <c r="F24" s="8"/>
      <c r="G24" s="8"/>
      <c r="H24" s="8"/>
      <c r="I24" s="8"/>
    </row>
    <row r="25" spans="1:10" x14ac:dyDescent="0.2">
      <c r="A25" s="12"/>
      <c r="B25" s="9" t="s">
        <v>58</v>
      </c>
      <c r="C25" s="8">
        <f>COUNTIF(C2:C22,2)</f>
        <v>20</v>
      </c>
      <c r="D25" s="8"/>
      <c r="E25" s="8"/>
      <c r="F25" s="8"/>
      <c r="G25" s="8"/>
      <c r="H25" s="8"/>
      <c r="I25" s="8"/>
    </row>
    <row r="26" spans="1:10" x14ac:dyDescent="0.2">
      <c r="A26" s="12"/>
      <c r="B26" s="9" t="s">
        <v>125</v>
      </c>
      <c r="C26" s="8">
        <f>COUNTIF(C2:C22,3)</f>
        <v>0</v>
      </c>
      <c r="D26" s="8"/>
      <c r="E26" s="8"/>
      <c r="F26" s="8"/>
      <c r="G26" s="8"/>
      <c r="H26" s="8"/>
      <c r="I26" s="8"/>
    </row>
    <row r="27" spans="1:10" x14ac:dyDescent="0.2">
      <c r="A27" s="12" t="s">
        <v>20</v>
      </c>
      <c r="B27" s="12"/>
      <c r="C27" s="8" t="s">
        <v>126</v>
      </c>
      <c r="D27" s="8">
        <f>COUNTIF(D2:D22,1)</f>
        <v>8</v>
      </c>
      <c r="E27" s="8"/>
      <c r="F27" s="8"/>
      <c r="G27" s="8"/>
      <c r="H27" s="8"/>
      <c r="I27" s="8"/>
    </row>
    <row r="28" spans="1:10" x14ac:dyDescent="0.2">
      <c r="A28" s="12"/>
      <c r="B28" s="12"/>
      <c r="C28" s="8" t="s">
        <v>127</v>
      </c>
      <c r="D28" s="8">
        <f>COUNTIF(D2:D22,2)</f>
        <v>13</v>
      </c>
      <c r="E28" s="8"/>
      <c r="F28" s="8"/>
      <c r="G28" s="8"/>
      <c r="H28" s="8"/>
      <c r="I28" s="8"/>
    </row>
    <row r="29" spans="1:10" x14ac:dyDescent="0.2">
      <c r="A29" s="12"/>
      <c r="B29" s="12"/>
      <c r="C29" s="8" t="s">
        <v>61</v>
      </c>
      <c r="D29" s="7">
        <f>COUNTIF(D2:D22,3)</f>
        <v>0</v>
      </c>
      <c r="E29" s="8"/>
      <c r="F29" s="8"/>
      <c r="G29" s="8"/>
      <c r="H29" s="8"/>
      <c r="I29" s="8"/>
    </row>
    <row r="30" spans="1:10" x14ac:dyDescent="0.2">
      <c r="A30" s="12" t="s">
        <v>21</v>
      </c>
      <c r="B30" s="12"/>
      <c r="C30" s="12"/>
      <c r="D30" s="8" t="s">
        <v>76</v>
      </c>
      <c r="E30" s="8">
        <f>COUNTIF(E2:E22,1)</f>
        <v>7</v>
      </c>
      <c r="F30" s="8"/>
      <c r="G30" s="8"/>
      <c r="H30" s="8"/>
      <c r="I30" s="8"/>
    </row>
    <row r="31" spans="1:10" x14ac:dyDescent="0.2">
      <c r="A31" s="12"/>
      <c r="B31" s="12"/>
      <c r="C31" s="12"/>
      <c r="D31" s="8" t="s">
        <v>61</v>
      </c>
      <c r="E31" s="8">
        <f>COUNTIF(E2:E22,2)</f>
        <v>6</v>
      </c>
      <c r="F31" s="8"/>
      <c r="G31" s="8"/>
      <c r="H31" s="8"/>
      <c r="I31" s="8"/>
    </row>
    <row r="32" spans="1:10" x14ac:dyDescent="0.2">
      <c r="A32" s="12"/>
      <c r="B32" s="12"/>
      <c r="C32" s="12"/>
      <c r="D32" s="8" t="s">
        <v>135</v>
      </c>
      <c r="E32" s="8">
        <f>COUNTIF(E2:E22,3)</f>
        <v>8</v>
      </c>
      <c r="F32" s="8"/>
      <c r="G32" s="8"/>
      <c r="H32" s="8"/>
      <c r="I32" s="8"/>
    </row>
    <row r="33" spans="1:9" x14ac:dyDescent="0.2">
      <c r="A33" s="12" t="s">
        <v>22</v>
      </c>
      <c r="B33" s="12"/>
      <c r="C33" s="12"/>
      <c r="D33" s="12"/>
      <c r="E33" s="8" t="s">
        <v>76</v>
      </c>
      <c r="F33" s="8">
        <f>COUNTIF(E2:E22,1)</f>
        <v>7</v>
      </c>
      <c r="G33" s="8"/>
      <c r="H33" s="8"/>
      <c r="I33" s="8"/>
    </row>
    <row r="34" spans="1:9" x14ac:dyDescent="0.2">
      <c r="A34" s="12"/>
      <c r="B34" s="12"/>
      <c r="C34" s="12"/>
      <c r="D34" s="12"/>
      <c r="E34" s="8" t="s">
        <v>61</v>
      </c>
      <c r="F34" s="8">
        <f>COUNTIF(E2:E22,2)</f>
        <v>6</v>
      </c>
      <c r="G34" s="8"/>
      <c r="H34" s="8"/>
      <c r="I34" s="8"/>
    </row>
    <row r="35" spans="1:9" x14ac:dyDescent="0.2">
      <c r="A35" s="12" t="s">
        <v>23</v>
      </c>
      <c r="B35" s="12"/>
      <c r="C35" s="12"/>
      <c r="D35" s="12"/>
      <c r="E35" s="12"/>
      <c r="F35" s="8" t="s">
        <v>62</v>
      </c>
      <c r="G35" s="8">
        <f>COUNTIF(G2:G22,1)</f>
        <v>12</v>
      </c>
      <c r="H35" s="8"/>
      <c r="I35" s="8"/>
    </row>
    <row r="36" spans="1:9" x14ac:dyDescent="0.2">
      <c r="A36" s="12"/>
      <c r="B36" s="12"/>
      <c r="C36" s="12"/>
      <c r="D36" s="12"/>
      <c r="E36" s="12"/>
      <c r="F36" s="8" t="s">
        <v>68</v>
      </c>
      <c r="G36" s="8">
        <f>COUNTIF(G2:G22,2)</f>
        <v>9</v>
      </c>
      <c r="H36" s="8"/>
      <c r="I36" s="8"/>
    </row>
    <row r="37" spans="1:9" x14ac:dyDescent="0.2">
      <c r="A37" s="12"/>
      <c r="B37" s="12"/>
      <c r="C37" s="12"/>
      <c r="D37" s="12"/>
      <c r="E37" s="12"/>
      <c r="F37" s="8" t="s">
        <v>85</v>
      </c>
      <c r="G37" s="8">
        <f>COUNTIF(G2:G22,3)</f>
        <v>0</v>
      </c>
      <c r="H37" s="8"/>
      <c r="I37" s="8"/>
    </row>
    <row r="38" spans="1:9" x14ac:dyDescent="0.2">
      <c r="A38" s="12" t="s">
        <v>25</v>
      </c>
      <c r="B38" s="12"/>
      <c r="C38" s="12"/>
      <c r="D38" s="12"/>
      <c r="E38" s="12"/>
      <c r="F38" s="12"/>
      <c r="G38" s="8" t="s">
        <v>72</v>
      </c>
      <c r="H38" s="8">
        <f>COUNTIF(H2:H22,1)</f>
        <v>9</v>
      </c>
      <c r="I38" s="8"/>
    </row>
    <row r="39" spans="1:9" x14ac:dyDescent="0.2">
      <c r="A39" s="12"/>
      <c r="B39" s="12"/>
      <c r="C39" s="12"/>
      <c r="D39" s="12"/>
      <c r="E39" s="12"/>
      <c r="F39" s="12"/>
      <c r="G39" s="8" t="s">
        <v>63</v>
      </c>
      <c r="H39" s="8">
        <f>COUNTIF(H2:H22,2)</f>
        <v>12</v>
      </c>
      <c r="I39" s="8"/>
    </row>
    <row r="40" spans="1:9" x14ac:dyDescent="0.2">
      <c r="A40" s="12"/>
      <c r="B40" s="12"/>
      <c r="C40" s="12"/>
      <c r="D40" s="12"/>
      <c r="E40" s="12"/>
      <c r="F40" s="12"/>
      <c r="G40" s="8" t="s">
        <v>85</v>
      </c>
      <c r="H40" s="8" t="e">
        <f>COUNTIF(#REF!,3)</f>
        <v>#REF!</v>
      </c>
      <c r="I40" s="8"/>
    </row>
    <row r="41" spans="1:9" x14ac:dyDescent="0.2">
      <c r="A41" s="12" t="s">
        <v>26</v>
      </c>
      <c r="B41" s="12"/>
      <c r="C41" s="12"/>
      <c r="D41" s="12"/>
      <c r="E41" s="12"/>
      <c r="F41" s="12"/>
      <c r="G41" s="12"/>
      <c r="H41" s="8" t="s">
        <v>130</v>
      </c>
      <c r="I41" s="8">
        <f>COUNTIF(I2:I22,1)</f>
        <v>0</v>
      </c>
    </row>
    <row r="42" spans="1:9" x14ac:dyDescent="0.2">
      <c r="A42" s="12"/>
      <c r="B42" s="12"/>
      <c r="C42" s="12"/>
      <c r="D42" s="12"/>
      <c r="E42" s="12"/>
      <c r="F42" s="12"/>
      <c r="G42" s="12"/>
      <c r="H42" s="8" t="s">
        <v>131</v>
      </c>
      <c r="I42" s="8">
        <f>COUNTIF(I2:I22,2)</f>
        <v>0</v>
      </c>
    </row>
    <row r="43" spans="1:9" x14ac:dyDescent="0.2">
      <c r="A43" s="12"/>
      <c r="B43" s="12"/>
      <c r="C43" s="12"/>
      <c r="D43" s="12"/>
      <c r="E43" s="12"/>
      <c r="F43" s="12"/>
      <c r="G43" s="12"/>
      <c r="H43" s="8" t="s">
        <v>132</v>
      </c>
      <c r="I43" s="8">
        <f>COUNTIF(I2:I22,3)</f>
        <v>0</v>
      </c>
    </row>
    <row r="44" spans="1:9" x14ac:dyDescent="0.2">
      <c r="A44" s="12"/>
      <c r="B44" s="12"/>
      <c r="C44" s="12"/>
      <c r="D44" s="12"/>
      <c r="E44" s="12"/>
      <c r="F44" s="12"/>
      <c r="G44" s="12"/>
      <c r="H44" s="8" t="s">
        <v>88</v>
      </c>
      <c r="I44" s="8">
        <f>COUNTIF(I2:I22,4)</f>
        <v>1</v>
      </c>
    </row>
    <row r="45" spans="1:9" x14ac:dyDescent="0.2">
      <c r="A45" s="12"/>
      <c r="B45" s="12"/>
      <c r="C45" s="12"/>
      <c r="D45" s="12"/>
      <c r="E45" s="12"/>
      <c r="F45" s="12"/>
      <c r="G45" s="12"/>
      <c r="H45" s="8" t="s">
        <v>64</v>
      </c>
      <c r="I45" s="10">
        <f>COUNTIF(I2:I22,5) + 1</f>
        <v>19</v>
      </c>
    </row>
    <row r="46" spans="1:9" x14ac:dyDescent="0.2">
      <c r="A46" s="12"/>
      <c r="B46" s="12"/>
      <c r="C46" s="12"/>
      <c r="D46" s="12"/>
      <c r="E46" s="12"/>
      <c r="F46" s="12"/>
      <c r="G46" s="12"/>
      <c r="H46" s="8" t="s">
        <v>85</v>
      </c>
      <c r="I46" s="8">
        <f>COUNTIF(I2:I22,6)</f>
        <v>2</v>
      </c>
    </row>
    <row r="47" spans="1:9" x14ac:dyDescent="0.2">
      <c r="A47" s="12"/>
      <c r="B47" s="12"/>
      <c r="C47" s="12"/>
      <c r="D47" s="12"/>
      <c r="E47" s="12"/>
      <c r="F47" s="12"/>
      <c r="G47" s="12"/>
      <c r="H47" s="8" t="s">
        <v>133</v>
      </c>
      <c r="I47" s="8">
        <f>COUNTIF(I2:I22,7)</f>
        <v>0</v>
      </c>
    </row>
    <row r="48" spans="1:9" x14ac:dyDescent="0.2">
      <c r="F48" s="11"/>
      <c r="G48" s="8"/>
      <c r="H48" s="8"/>
    </row>
    <row r="49" spans="6:8" x14ac:dyDescent="0.2">
      <c r="F49" s="5"/>
      <c r="G49" s="9"/>
      <c r="H49" s="8"/>
    </row>
    <row r="50" spans="6:8" x14ac:dyDescent="0.2">
      <c r="F50" s="5"/>
      <c r="G50" s="9"/>
      <c r="H50" s="8"/>
    </row>
    <row r="51" spans="6:8" x14ac:dyDescent="0.2">
      <c r="F51" s="5"/>
      <c r="G51" s="8"/>
      <c r="H51" s="8"/>
    </row>
    <row r="52" spans="6:8" x14ac:dyDescent="0.2">
      <c r="F52" s="5"/>
      <c r="G52" s="8"/>
      <c r="H52" s="8"/>
    </row>
    <row r="53" spans="6:8" x14ac:dyDescent="0.2">
      <c r="G53" s="8"/>
      <c r="H53" s="7"/>
    </row>
    <row r="54" spans="6:8" x14ac:dyDescent="0.2">
      <c r="F54" s="11"/>
      <c r="G54" s="8"/>
      <c r="H54" s="8"/>
    </row>
    <row r="55" spans="6:8" x14ac:dyDescent="0.2">
      <c r="G55" s="8"/>
      <c r="H55" s="8"/>
    </row>
    <row r="56" spans="6:8" x14ac:dyDescent="0.2">
      <c r="F56" s="5"/>
      <c r="G56" s="8"/>
      <c r="H56" s="8"/>
    </row>
    <row r="57" spans="6:8" x14ac:dyDescent="0.2">
      <c r="G57" s="8"/>
      <c r="H57" s="8"/>
    </row>
    <row r="58" spans="6:8" x14ac:dyDescent="0.2">
      <c r="F58" s="5"/>
      <c r="G58" s="8"/>
      <c r="H58" s="8"/>
    </row>
    <row r="59" spans="6:8" x14ac:dyDescent="0.2">
      <c r="G59" s="8"/>
      <c r="H59" s="10"/>
    </row>
    <row r="60" spans="6:8" x14ac:dyDescent="0.2">
      <c r="F60" s="19" t="s">
        <v>138</v>
      </c>
      <c r="G60" s="20"/>
      <c r="H60" s="21"/>
    </row>
    <row r="61" spans="6:8" x14ac:dyDescent="0.2">
      <c r="F61" s="13" t="s">
        <v>137</v>
      </c>
      <c r="G61" s="14"/>
      <c r="H61" s="14">
        <v>19</v>
      </c>
    </row>
    <row r="62" spans="6:8" x14ac:dyDescent="0.2">
      <c r="F62" s="15" t="s">
        <v>18</v>
      </c>
      <c r="G62" s="16" t="s">
        <v>84</v>
      </c>
      <c r="H62" s="14">
        <v>1</v>
      </c>
    </row>
    <row r="63" spans="6:8" x14ac:dyDescent="0.2">
      <c r="F63" s="15"/>
      <c r="G63" s="16" t="s">
        <v>58</v>
      </c>
      <c r="H63" s="14">
        <v>20</v>
      </c>
    </row>
    <row r="64" spans="6:8" x14ac:dyDescent="0.2">
      <c r="F64" s="15" t="s">
        <v>20</v>
      </c>
      <c r="G64" s="14" t="s">
        <v>126</v>
      </c>
      <c r="H64" s="14">
        <v>8</v>
      </c>
    </row>
    <row r="65" spans="6:8" x14ac:dyDescent="0.2">
      <c r="F65" s="15"/>
      <c r="G65" s="14" t="s">
        <v>127</v>
      </c>
      <c r="H65" s="14">
        <v>13</v>
      </c>
    </row>
    <row r="66" spans="6:8" x14ac:dyDescent="0.2">
      <c r="F66" s="17"/>
      <c r="G66" s="14" t="s">
        <v>61</v>
      </c>
      <c r="H66" s="18">
        <v>0</v>
      </c>
    </row>
    <row r="67" spans="6:8" x14ac:dyDescent="0.2">
      <c r="F67" s="13" t="s">
        <v>23</v>
      </c>
      <c r="G67" s="14" t="s">
        <v>62</v>
      </c>
      <c r="H67" s="14">
        <v>13</v>
      </c>
    </row>
    <row r="68" spans="6:8" x14ac:dyDescent="0.2">
      <c r="F68" s="17"/>
      <c r="G68" s="14" t="s">
        <v>68</v>
      </c>
      <c r="H68" s="14">
        <v>9</v>
      </c>
    </row>
    <row r="69" spans="6:8" x14ac:dyDescent="0.2">
      <c r="F69" s="15" t="s">
        <v>136</v>
      </c>
      <c r="G69" s="14" t="s">
        <v>72</v>
      </c>
      <c r="H69" s="14">
        <v>9</v>
      </c>
    </row>
    <row r="70" spans="6:8" x14ac:dyDescent="0.2">
      <c r="F70" s="17"/>
      <c r="G70" s="14" t="s">
        <v>63</v>
      </c>
      <c r="H70" s="14">
        <v>12</v>
      </c>
    </row>
    <row r="71" spans="6:8" x14ac:dyDescent="0.2">
      <c r="F71" s="15" t="s">
        <v>26</v>
      </c>
      <c r="G71" s="14" t="s">
        <v>88</v>
      </c>
      <c r="H71" s="14">
        <v>1</v>
      </c>
    </row>
    <row r="72" spans="6:8" x14ac:dyDescent="0.2">
      <c r="F72" s="17"/>
      <c r="G72" s="14" t="s">
        <v>64</v>
      </c>
      <c r="H72" s="14">
        <v>19</v>
      </c>
    </row>
    <row r="73" spans="6:8" x14ac:dyDescent="0.2">
      <c r="F73" s="17"/>
      <c r="G73" s="14" t="s">
        <v>85</v>
      </c>
      <c r="H73" s="14">
        <v>3</v>
      </c>
    </row>
  </sheetData>
  <mergeCells count="8">
    <mergeCell ref="F60:H60"/>
    <mergeCell ref="A41:G47"/>
    <mergeCell ref="A24:A26"/>
    <mergeCell ref="A27:B29"/>
    <mergeCell ref="A30:C32"/>
    <mergeCell ref="A33:D34"/>
    <mergeCell ref="A35:E37"/>
    <mergeCell ref="A38: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AE30-1CBB-6543-B160-CEC0856BBFE6}">
  <dimension ref="A1:I22"/>
  <sheetViews>
    <sheetView workbookViewId="0">
      <selection activeCell="E24" sqref="E24"/>
    </sheetView>
  </sheetViews>
  <sheetFormatPr baseColWidth="10" defaultRowHeight="15" x14ac:dyDescent="0.2"/>
  <sheetData>
    <row r="1" spans="1:9" x14ac:dyDescent="0.2">
      <c r="A1" s="3" t="s">
        <v>17</v>
      </c>
      <c r="B1" s="3" t="s">
        <v>19</v>
      </c>
      <c r="C1" s="3" t="s">
        <v>18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25</v>
      </c>
      <c r="I1" s="3" t="s">
        <v>26</v>
      </c>
    </row>
    <row r="2" spans="1:9" x14ac:dyDescent="0.2">
      <c r="A2" s="4">
        <v>3</v>
      </c>
      <c r="B2" s="4">
        <v>18</v>
      </c>
      <c r="C2" s="2">
        <v>2</v>
      </c>
      <c r="D2" s="2">
        <v>2</v>
      </c>
      <c r="E2" s="2">
        <v>2</v>
      </c>
      <c r="F2" s="2">
        <v>2</v>
      </c>
      <c r="G2" s="2">
        <v>1</v>
      </c>
      <c r="H2" s="2">
        <v>2</v>
      </c>
      <c r="I2" s="2">
        <v>5</v>
      </c>
    </row>
    <row r="3" spans="1:9" x14ac:dyDescent="0.2">
      <c r="A3" s="4">
        <v>4</v>
      </c>
      <c r="B3" s="4">
        <v>18</v>
      </c>
      <c r="C3" s="2">
        <v>2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5</v>
      </c>
    </row>
    <row r="4" spans="1:9" x14ac:dyDescent="0.2">
      <c r="A4" s="4">
        <v>5</v>
      </c>
      <c r="B4" s="4">
        <v>18</v>
      </c>
      <c r="C4" s="2">
        <v>2</v>
      </c>
      <c r="D4" s="2">
        <v>1</v>
      </c>
      <c r="E4" s="2">
        <v>3</v>
      </c>
      <c r="F4" s="2">
        <v>2</v>
      </c>
      <c r="G4" s="2">
        <v>1</v>
      </c>
      <c r="H4" s="2">
        <v>1</v>
      </c>
      <c r="I4" s="2">
        <v>5</v>
      </c>
    </row>
    <row r="5" spans="1:9" x14ac:dyDescent="0.2">
      <c r="A5" s="4">
        <v>6</v>
      </c>
      <c r="B5" s="4">
        <v>19</v>
      </c>
      <c r="C5" s="2">
        <v>2</v>
      </c>
      <c r="D5" s="2">
        <v>2</v>
      </c>
      <c r="E5" s="2">
        <v>1</v>
      </c>
      <c r="F5" s="2">
        <v>2</v>
      </c>
      <c r="G5" s="2">
        <v>1</v>
      </c>
      <c r="H5" s="2">
        <v>1</v>
      </c>
      <c r="I5" s="2">
        <v>5</v>
      </c>
    </row>
    <row r="6" spans="1:9" x14ac:dyDescent="0.2">
      <c r="A6" s="4">
        <v>7</v>
      </c>
      <c r="B6" s="4">
        <v>19</v>
      </c>
      <c r="C6" s="2">
        <v>2</v>
      </c>
      <c r="D6" s="2">
        <v>1</v>
      </c>
      <c r="E6" s="2">
        <v>3</v>
      </c>
      <c r="F6" s="2">
        <v>2</v>
      </c>
      <c r="G6" s="2">
        <v>1</v>
      </c>
      <c r="H6" s="2">
        <v>2</v>
      </c>
      <c r="I6" s="2">
        <v>5</v>
      </c>
    </row>
    <row r="7" spans="1:9" x14ac:dyDescent="0.2">
      <c r="A7" s="4">
        <v>8</v>
      </c>
      <c r="B7" s="4">
        <v>18</v>
      </c>
      <c r="C7" s="2">
        <v>2</v>
      </c>
      <c r="D7" s="2">
        <v>2</v>
      </c>
      <c r="E7" s="2">
        <v>1</v>
      </c>
      <c r="F7" s="2">
        <v>2</v>
      </c>
      <c r="G7" s="2">
        <v>1</v>
      </c>
      <c r="H7" s="2">
        <v>2</v>
      </c>
      <c r="I7" s="2">
        <v>5</v>
      </c>
    </row>
    <row r="8" spans="1:9" x14ac:dyDescent="0.2">
      <c r="A8" s="4">
        <v>9</v>
      </c>
      <c r="B8" s="4">
        <v>18</v>
      </c>
      <c r="C8" s="2">
        <v>1</v>
      </c>
      <c r="D8" s="2">
        <v>2</v>
      </c>
      <c r="E8" s="2">
        <v>1</v>
      </c>
      <c r="F8" s="2">
        <v>2</v>
      </c>
      <c r="G8" s="2">
        <v>1</v>
      </c>
      <c r="H8" s="2">
        <v>1</v>
      </c>
      <c r="I8" s="2">
        <v>6</v>
      </c>
    </row>
    <row r="9" spans="1:9" x14ac:dyDescent="0.2">
      <c r="A9" s="4">
        <v>10</v>
      </c>
      <c r="B9" s="4">
        <v>19</v>
      </c>
      <c r="C9" s="2">
        <v>2</v>
      </c>
      <c r="D9" s="2">
        <v>1</v>
      </c>
      <c r="E9" s="2">
        <v>3</v>
      </c>
      <c r="F9" s="2">
        <v>2</v>
      </c>
      <c r="G9" s="2">
        <v>2</v>
      </c>
      <c r="H9" s="2">
        <v>2</v>
      </c>
      <c r="I9" s="2">
        <v>4</v>
      </c>
    </row>
    <row r="10" spans="1:9" x14ac:dyDescent="0.2">
      <c r="A10" s="4">
        <v>11</v>
      </c>
      <c r="B10" s="4">
        <v>21</v>
      </c>
      <c r="C10" s="2">
        <v>2</v>
      </c>
      <c r="D10" s="2">
        <v>1</v>
      </c>
      <c r="E10" s="2">
        <v>3</v>
      </c>
      <c r="F10" s="2">
        <v>2</v>
      </c>
      <c r="G10" s="2">
        <v>2</v>
      </c>
      <c r="H10" s="2">
        <v>1</v>
      </c>
      <c r="I10" s="2">
        <v>5</v>
      </c>
    </row>
    <row r="11" spans="1:9" x14ac:dyDescent="0.2">
      <c r="A11" s="4">
        <v>12</v>
      </c>
      <c r="B11" s="4">
        <v>18</v>
      </c>
      <c r="C11" s="2">
        <v>2</v>
      </c>
      <c r="D11" s="2">
        <v>1</v>
      </c>
      <c r="E11" s="2">
        <v>3</v>
      </c>
      <c r="F11" s="2">
        <v>2</v>
      </c>
      <c r="G11" s="2">
        <v>1</v>
      </c>
      <c r="H11" s="2">
        <v>2</v>
      </c>
      <c r="I11" s="2">
        <v>5</v>
      </c>
    </row>
    <row r="12" spans="1:9" x14ac:dyDescent="0.2">
      <c r="A12" s="4">
        <v>13</v>
      </c>
      <c r="B12" s="4">
        <v>18</v>
      </c>
      <c r="C12" s="2">
        <v>2</v>
      </c>
      <c r="D12" s="2">
        <v>2</v>
      </c>
      <c r="E12" s="2">
        <v>2</v>
      </c>
      <c r="F12" s="2">
        <v>2</v>
      </c>
      <c r="G12" s="2">
        <v>1</v>
      </c>
      <c r="H12" s="2">
        <v>2</v>
      </c>
      <c r="I12" s="2">
        <v>5</v>
      </c>
    </row>
    <row r="13" spans="1:9" x14ac:dyDescent="0.2">
      <c r="A13" s="4">
        <v>14</v>
      </c>
      <c r="B13" s="4">
        <v>19</v>
      </c>
      <c r="C13" s="2">
        <v>2</v>
      </c>
      <c r="D13" s="2">
        <v>2</v>
      </c>
      <c r="E13" s="2">
        <v>2</v>
      </c>
      <c r="F13" s="2">
        <v>2</v>
      </c>
      <c r="G13" s="2">
        <v>1</v>
      </c>
      <c r="H13" s="2">
        <v>2</v>
      </c>
      <c r="I13" s="2">
        <v>5</v>
      </c>
    </row>
    <row r="14" spans="1:9" x14ac:dyDescent="0.2">
      <c r="A14" s="4">
        <v>15</v>
      </c>
      <c r="B14" s="4">
        <v>20</v>
      </c>
      <c r="C14" s="2">
        <v>2</v>
      </c>
      <c r="D14" s="2">
        <v>2</v>
      </c>
      <c r="E14" s="2">
        <v>1</v>
      </c>
      <c r="F14" s="2">
        <v>2</v>
      </c>
      <c r="G14" s="2">
        <v>1</v>
      </c>
      <c r="H14" s="2">
        <v>1</v>
      </c>
      <c r="I14" s="2">
        <v>5</v>
      </c>
    </row>
    <row r="15" spans="1:9" x14ac:dyDescent="0.2">
      <c r="A15" s="4">
        <v>16</v>
      </c>
      <c r="B15" s="4">
        <v>20</v>
      </c>
      <c r="C15" s="2">
        <v>2</v>
      </c>
      <c r="D15" s="2">
        <v>1</v>
      </c>
      <c r="E15" s="2">
        <v>3</v>
      </c>
      <c r="F15" s="2">
        <v>2</v>
      </c>
      <c r="G15" s="2">
        <v>2</v>
      </c>
      <c r="H15" s="2">
        <v>1</v>
      </c>
      <c r="I15" s="2">
        <v>5</v>
      </c>
    </row>
    <row r="16" spans="1:9" x14ac:dyDescent="0.2">
      <c r="A16" s="4">
        <v>17</v>
      </c>
      <c r="B16" s="4">
        <v>18</v>
      </c>
      <c r="C16" s="2">
        <v>2</v>
      </c>
      <c r="D16" s="2">
        <v>2</v>
      </c>
      <c r="E16" s="2">
        <v>2</v>
      </c>
      <c r="F16" s="2">
        <v>2</v>
      </c>
      <c r="G16" s="2">
        <v>2</v>
      </c>
      <c r="H16" s="2">
        <v>1</v>
      </c>
      <c r="I16" s="2">
        <v>6</v>
      </c>
    </row>
    <row r="17" spans="1:9" x14ac:dyDescent="0.2">
      <c r="A17" s="4">
        <v>18</v>
      </c>
      <c r="B17" s="4">
        <v>20</v>
      </c>
      <c r="C17" s="2">
        <v>2</v>
      </c>
      <c r="D17" s="2">
        <v>1</v>
      </c>
      <c r="E17" s="2">
        <v>3</v>
      </c>
      <c r="F17" s="2">
        <v>2</v>
      </c>
      <c r="G17" s="2">
        <v>1</v>
      </c>
      <c r="H17" s="2">
        <v>2</v>
      </c>
      <c r="I17" s="2">
        <v>5</v>
      </c>
    </row>
    <row r="18" spans="1:9" x14ac:dyDescent="0.2">
      <c r="A18" s="4">
        <v>19</v>
      </c>
      <c r="B18" s="4">
        <v>18</v>
      </c>
      <c r="C18" s="2">
        <v>2</v>
      </c>
      <c r="D18" s="2">
        <v>2</v>
      </c>
      <c r="E18" s="2">
        <v>1</v>
      </c>
      <c r="F18" s="2">
        <v>2</v>
      </c>
      <c r="G18" s="2">
        <v>2</v>
      </c>
      <c r="H18" s="2">
        <v>2</v>
      </c>
      <c r="I18" s="2">
        <v>5</v>
      </c>
    </row>
    <row r="19" spans="1:9" x14ac:dyDescent="0.2">
      <c r="A19" s="4">
        <v>20</v>
      </c>
      <c r="B19" s="4">
        <v>20</v>
      </c>
      <c r="C19" s="2">
        <v>2</v>
      </c>
      <c r="D19" s="2">
        <v>2</v>
      </c>
      <c r="E19" s="2">
        <v>1</v>
      </c>
      <c r="F19" s="2">
        <v>2</v>
      </c>
      <c r="G19" s="2">
        <v>2</v>
      </c>
      <c r="H19" s="2">
        <v>1</v>
      </c>
      <c r="I19" s="2">
        <v>5</v>
      </c>
    </row>
    <row r="20" spans="1:9" x14ac:dyDescent="0.2">
      <c r="A20" s="4">
        <v>21</v>
      </c>
      <c r="B20" s="4">
        <v>18</v>
      </c>
      <c r="C20" s="2">
        <v>2</v>
      </c>
      <c r="D20" s="2">
        <v>1</v>
      </c>
      <c r="E20" s="2">
        <v>3</v>
      </c>
      <c r="F20" s="2">
        <v>2</v>
      </c>
      <c r="G20" s="2">
        <v>2</v>
      </c>
      <c r="H20" s="2">
        <v>1</v>
      </c>
      <c r="I20" s="2">
        <v>5</v>
      </c>
    </row>
    <row r="21" spans="1:9" x14ac:dyDescent="0.2">
      <c r="A21" s="4">
        <v>22</v>
      </c>
      <c r="B21" s="4">
        <v>19</v>
      </c>
      <c r="C21" s="2">
        <v>2</v>
      </c>
      <c r="D21" s="2">
        <v>2</v>
      </c>
      <c r="E21" s="2">
        <v>1</v>
      </c>
      <c r="F21" s="2">
        <v>2</v>
      </c>
      <c r="G21" s="2">
        <v>1</v>
      </c>
      <c r="H21" s="2">
        <v>2</v>
      </c>
      <c r="I21" s="2">
        <v>5</v>
      </c>
    </row>
    <row r="22" spans="1:9" x14ac:dyDescent="0.2">
      <c r="A22" s="4">
        <v>23</v>
      </c>
      <c r="B22" s="4">
        <v>20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  <c r="H22" s="2">
        <v>2</v>
      </c>
      <c r="I22" s="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874B-7AAD-4ADF-87ED-C18D97C60C12}">
  <dimension ref="A1:C32"/>
  <sheetViews>
    <sheetView workbookViewId="0">
      <selection activeCell="B32" sqref="B32"/>
    </sheetView>
  </sheetViews>
  <sheetFormatPr baseColWidth="10" defaultColWidth="8.83203125" defaultRowHeight="15" x14ac:dyDescent="0.2"/>
  <cols>
    <col min="1" max="1" width="11.83203125" bestFit="1" customWidth="1"/>
    <col min="2" max="2" width="38" bestFit="1" customWidth="1"/>
  </cols>
  <sheetData>
    <row r="1" spans="1:3" x14ac:dyDescent="0.2">
      <c r="A1" s="5" t="s">
        <v>122</v>
      </c>
      <c r="B1" s="5" t="s">
        <v>123</v>
      </c>
      <c r="C1" s="5" t="s">
        <v>124</v>
      </c>
    </row>
    <row r="3" spans="1:3" x14ac:dyDescent="0.2">
      <c r="A3" s="5" t="s">
        <v>18</v>
      </c>
      <c r="B3" t="s">
        <v>84</v>
      </c>
      <c r="C3">
        <v>1</v>
      </c>
    </row>
    <row r="4" spans="1:3" x14ac:dyDescent="0.2">
      <c r="A4" s="5"/>
      <c r="B4" t="s">
        <v>58</v>
      </c>
      <c r="C4">
        <v>2</v>
      </c>
    </row>
    <row r="5" spans="1:3" x14ac:dyDescent="0.2">
      <c r="A5" s="5"/>
      <c r="B5" t="s">
        <v>125</v>
      </c>
      <c r="C5">
        <v>3</v>
      </c>
    </row>
    <row r="6" spans="1:3" x14ac:dyDescent="0.2">
      <c r="A6" s="5"/>
    </row>
    <row r="7" spans="1:3" x14ac:dyDescent="0.2">
      <c r="A7" s="5" t="s">
        <v>20</v>
      </c>
      <c r="B7" t="s">
        <v>126</v>
      </c>
      <c r="C7">
        <v>1</v>
      </c>
    </row>
    <row r="8" spans="1:3" x14ac:dyDescent="0.2">
      <c r="A8" s="5"/>
      <c r="B8" t="s">
        <v>127</v>
      </c>
      <c r="C8">
        <v>2</v>
      </c>
    </row>
    <row r="9" spans="1:3" x14ac:dyDescent="0.2">
      <c r="A9" s="5"/>
      <c r="B9" t="s">
        <v>61</v>
      </c>
      <c r="C9">
        <v>3</v>
      </c>
    </row>
    <row r="10" spans="1:3" x14ac:dyDescent="0.2">
      <c r="A10" s="5"/>
    </row>
    <row r="11" spans="1:3" x14ac:dyDescent="0.2">
      <c r="A11" s="5" t="s">
        <v>21</v>
      </c>
      <c r="B11" t="s">
        <v>76</v>
      </c>
      <c r="C11">
        <v>1</v>
      </c>
    </row>
    <row r="12" spans="1:3" x14ac:dyDescent="0.2">
      <c r="A12" s="5"/>
      <c r="B12" t="s">
        <v>61</v>
      </c>
      <c r="C12">
        <v>2</v>
      </c>
    </row>
    <row r="13" spans="1:3" x14ac:dyDescent="0.2">
      <c r="A13" s="5"/>
      <c r="B13" t="s">
        <v>128</v>
      </c>
      <c r="C13">
        <v>3</v>
      </c>
    </row>
    <row r="14" spans="1:3" x14ac:dyDescent="0.2">
      <c r="A14" s="5"/>
    </row>
    <row r="15" spans="1:3" x14ac:dyDescent="0.2">
      <c r="A15" s="5" t="s">
        <v>22</v>
      </c>
      <c r="B15" t="s">
        <v>76</v>
      </c>
      <c r="C15">
        <v>1</v>
      </c>
    </row>
    <row r="16" spans="1:3" x14ac:dyDescent="0.2">
      <c r="A16" s="5"/>
      <c r="B16" t="s">
        <v>61</v>
      </c>
      <c r="C16">
        <v>2</v>
      </c>
    </row>
    <row r="17" spans="1:3" x14ac:dyDescent="0.2">
      <c r="A17" s="5"/>
    </row>
    <row r="18" spans="1:3" x14ac:dyDescent="0.2">
      <c r="A18" s="5" t="s">
        <v>23</v>
      </c>
      <c r="B18" t="s">
        <v>62</v>
      </c>
      <c r="C18">
        <v>1</v>
      </c>
    </row>
    <row r="19" spans="1:3" x14ac:dyDescent="0.2">
      <c r="A19" s="5"/>
      <c r="B19" t="s">
        <v>68</v>
      </c>
      <c r="C19">
        <v>2</v>
      </c>
    </row>
    <row r="20" spans="1:3" x14ac:dyDescent="0.2">
      <c r="A20" s="5"/>
      <c r="B20" t="s">
        <v>85</v>
      </c>
      <c r="C20">
        <v>3</v>
      </c>
    </row>
    <row r="21" spans="1:3" x14ac:dyDescent="0.2">
      <c r="A21" s="5"/>
    </row>
    <row r="22" spans="1:3" x14ac:dyDescent="0.2">
      <c r="A22" s="5" t="s">
        <v>25</v>
      </c>
      <c r="B22" t="s">
        <v>72</v>
      </c>
      <c r="C22">
        <v>1</v>
      </c>
    </row>
    <row r="23" spans="1:3" x14ac:dyDescent="0.2">
      <c r="A23" s="5"/>
      <c r="B23" t="s">
        <v>63</v>
      </c>
      <c r="C23">
        <v>2</v>
      </c>
    </row>
    <row r="24" spans="1:3" x14ac:dyDescent="0.2">
      <c r="A24" s="5"/>
      <c r="B24" t="s">
        <v>129</v>
      </c>
      <c r="C24">
        <v>3</v>
      </c>
    </row>
    <row r="25" spans="1:3" x14ac:dyDescent="0.2">
      <c r="A25" s="5"/>
    </row>
    <row r="26" spans="1:3" x14ac:dyDescent="0.2">
      <c r="A26" s="5" t="s">
        <v>26</v>
      </c>
      <c r="B26" t="s">
        <v>130</v>
      </c>
      <c r="C26">
        <v>1</v>
      </c>
    </row>
    <row r="27" spans="1:3" x14ac:dyDescent="0.2">
      <c r="A27" s="5"/>
      <c r="B27" t="s">
        <v>131</v>
      </c>
      <c r="C27">
        <v>2</v>
      </c>
    </row>
    <row r="28" spans="1:3" x14ac:dyDescent="0.2">
      <c r="A28" s="5"/>
      <c r="B28" t="s">
        <v>132</v>
      </c>
      <c r="C28">
        <v>3</v>
      </c>
    </row>
    <row r="29" spans="1:3" x14ac:dyDescent="0.2">
      <c r="B29" t="s">
        <v>88</v>
      </c>
      <c r="C29">
        <v>4</v>
      </c>
    </row>
    <row r="30" spans="1:3" x14ac:dyDescent="0.2">
      <c r="B30" t="s">
        <v>64</v>
      </c>
      <c r="C30">
        <v>5</v>
      </c>
    </row>
    <row r="31" spans="1:3" x14ac:dyDescent="0.2">
      <c r="B31" t="s">
        <v>85</v>
      </c>
      <c r="C31">
        <v>6</v>
      </c>
    </row>
    <row r="32" spans="1:3" x14ac:dyDescent="0.2">
      <c r="B32" t="s">
        <v>133</v>
      </c>
      <c r="C3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Cleaned</vt:lpstr>
      <vt:lpstr>Sheet1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Frandsen, Justin</cp:lastModifiedBy>
  <dcterms:created xsi:type="dcterms:W3CDTF">2023-11-27T16:58:41Z</dcterms:created>
  <dcterms:modified xsi:type="dcterms:W3CDTF">2023-11-30T21:04:36Z</dcterms:modified>
</cp:coreProperties>
</file>